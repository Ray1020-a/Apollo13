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styles.xml" ContentType="application/vnd.openxmlformats-officedocument.spreadsheetml.styles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總覽" sheetId="1" state="visible" r:id="rId3"/>
    <sheet name="發射與載具" sheetId="2" state="visible" r:id="rId4"/>
    <sheet name="飛行時間軸" sheetId="3" state="visible" r:id="rId5"/>
    <sheet name="軌道與航程數據" sheetId="4" state="visible" r:id="rId6"/>
    <sheet name="太空船與組員" sheetId="5" state="visible" r:id="rId7"/>
    <sheet name="月面與科學" sheetId="6" state="visible" r:id="rId8"/>
    <sheet name="事件與異常" sheetId="7" state="visible" r:id="rId9"/>
    <sheet name="資料來源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<sst xmlns="http://schemas.openxmlformats.org/spreadsheetml/2006/main" count="722" uniqueCount="474">
  <si>
    <r>
      <rPr>
        <b val="true"/>
        <sz val="16"/>
        <color rgb="FFFFFFFF"/>
        <rFont val="Noto Sans TC"/>
        <family val="2"/>
        <charset val="136"/>
      </rPr>
      <t xml:space="preserve">阿波羅 </t>
    </r>
    <r>
      <rPr>
        <b val="true"/>
        <sz val="16"/>
        <color rgb="FFFFFFFF"/>
        <rFont val="Aptos"/>
        <family val="0"/>
        <charset val="1"/>
      </rPr>
      <t xml:space="preserve">11 </t>
    </r>
    <r>
      <rPr>
        <b val="true"/>
        <sz val="16"/>
        <color rgb="FFFFFFFF"/>
        <rFont val="Noto Sans TC"/>
        <family val="2"/>
        <charset val="136"/>
      </rPr>
      <t xml:space="preserve">號與 </t>
    </r>
    <r>
      <rPr>
        <b val="true"/>
        <sz val="16"/>
        <color rgb="FFFFFFFF"/>
        <rFont val="Aptos"/>
        <family val="0"/>
        <charset val="1"/>
      </rPr>
      <t xml:space="preserve">13 </t>
    </r>
    <r>
      <rPr>
        <b val="true"/>
        <sz val="16"/>
        <color rgb="FFFFFFFF"/>
        <rFont val="Noto Sans TC"/>
        <family val="2"/>
        <charset val="136"/>
      </rPr>
      <t xml:space="preserve">號：飛行與發射數據總覽</t>
    </r>
  </si>
  <si>
    <t xml:space="preserve">欄位</t>
  </si>
  <si>
    <r>
      <rPr>
        <b val="true"/>
        <sz val="10"/>
        <color rgb="FFFFFFFF"/>
        <rFont val="Noto Sans TC"/>
        <family val="2"/>
        <charset val="136"/>
      </rPr>
      <t xml:space="preserve">阿波羅 </t>
    </r>
    <r>
      <rPr>
        <b val="true"/>
        <sz val="10"/>
        <color rgb="FFFFFFFF"/>
        <rFont val="Aptos"/>
        <family val="0"/>
        <charset val="1"/>
      </rPr>
      <t xml:space="preserve">11 </t>
    </r>
    <r>
      <rPr>
        <b val="true"/>
        <sz val="10"/>
        <color rgb="FFFFFFFF"/>
        <rFont val="Noto Sans TC"/>
        <family val="2"/>
        <charset val="136"/>
      </rPr>
      <t xml:space="preserve">號</t>
    </r>
  </si>
  <si>
    <r>
      <rPr>
        <b val="true"/>
        <sz val="10"/>
        <color rgb="FFFFFFFF"/>
        <rFont val="Noto Sans TC"/>
        <family val="2"/>
        <charset val="136"/>
      </rPr>
      <t xml:space="preserve">阿波羅 </t>
    </r>
    <r>
      <rPr>
        <b val="true"/>
        <sz val="10"/>
        <color rgb="FFFFFFFF"/>
        <rFont val="Aptos"/>
        <family val="0"/>
        <charset val="1"/>
      </rPr>
      <t xml:space="preserve">13 </t>
    </r>
    <r>
      <rPr>
        <b val="true"/>
        <sz val="10"/>
        <color rgb="FFFFFFFF"/>
        <rFont val="Noto Sans TC"/>
        <family val="2"/>
        <charset val="136"/>
      </rPr>
      <t xml:space="preserve">號</t>
    </r>
  </si>
  <si>
    <t xml:space="preserve">備註</t>
  </si>
  <si>
    <t xml:space="preserve">主要來源</t>
  </si>
  <si>
    <t xml:space="preserve">比較指標</t>
  </si>
  <si>
    <t xml:space="preserve">值</t>
  </si>
  <si>
    <t xml:space="preserve">任務性質</t>
  </si>
  <si>
    <r>
      <rPr>
        <sz val="10"/>
        <rFont val="Noto Sans TC"/>
        <family val="2"/>
        <charset val="136"/>
      </rPr>
      <t xml:space="preserve">首次載人登月（</t>
    </r>
    <r>
      <rPr>
        <sz val="10"/>
        <rFont val="Aptos"/>
        <family val="0"/>
        <charset val="1"/>
      </rPr>
      <t xml:space="preserve">G </t>
    </r>
    <r>
      <rPr>
        <sz val="10"/>
        <rFont val="Noto Sans TC"/>
        <family val="2"/>
        <charset val="136"/>
      </rPr>
      <t xml:space="preserve">類型）</t>
    </r>
  </si>
  <si>
    <r>
      <rPr>
        <sz val="10"/>
        <rFont val="Noto Sans TC"/>
        <family val="2"/>
        <charset val="136"/>
      </rPr>
      <t xml:space="preserve">第三次登月嘗試；事故後繞月返回（</t>
    </r>
    <r>
      <rPr>
        <sz val="10"/>
        <rFont val="Aptos"/>
        <family val="0"/>
        <charset val="1"/>
      </rPr>
      <t xml:space="preserve">H </t>
    </r>
    <r>
      <rPr>
        <sz val="10"/>
        <rFont val="Noto Sans TC"/>
        <family val="2"/>
        <charset val="136"/>
      </rPr>
      <t xml:space="preserve">類型）</t>
    </r>
  </si>
  <si>
    <r>
      <rPr>
        <sz val="10"/>
        <rFont val="Aptos"/>
        <family val="0"/>
        <charset val="1"/>
      </rPr>
      <t xml:space="preserve">Apollo 13 </t>
    </r>
    <r>
      <rPr>
        <sz val="10"/>
        <rFont val="Noto Sans TC"/>
        <family val="2"/>
        <charset val="136"/>
      </rPr>
      <t xml:space="preserve">登月取消，</t>
    </r>
    <r>
      <rPr>
        <sz val="10"/>
        <rFont val="Aptos"/>
        <family val="0"/>
        <charset val="1"/>
      </rPr>
      <t xml:space="preserve">Fra Mauro </t>
    </r>
    <r>
      <rPr>
        <sz val="10"/>
        <rFont val="Noto Sans TC"/>
        <family val="2"/>
        <charset val="136"/>
      </rPr>
      <t xml:space="preserve">轉交 </t>
    </r>
    <r>
      <rPr>
        <sz val="10"/>
        <rFont val="Aptos"/>
        <family val="0"/>
        <charset val="1"/>
      </rPr>
      <t xml:space="preserve">Apollo 14</t>
    </r>
  </si>
  <si>
    <t xml:space="preserve">https://www.nasa.gov/missions/apollo/apollo-13-mission-details/</t>
  </si>
  <si>
    <r>
      <rPr>
        <sz val="10"/>
        <rFont val="Aptos"/>
        <family val="0"/>
        <charset val="1"/>
      </rPr>
      <t xml:space="preserve">Apollo 11 </t>
    </r>
    <r>
      <rPr>
        <sz val="10"/>
        <rFont val="Noto Sans TC"/>
        <family val="2"/>
        <charset val="136"/>
      </rPr>
      <t xml:space="preserve">比 </t>
    </r>
    <r>
      <rPr>
        <sz val="10"/>
        <rFont val="Aptos"/>
        <family val="0"/>
        <charset val="1"/>
      </rPr>
      <t xml:space="preserve">Apollo 13 </t>
    </r>
    <r>
      <rPr>
        <sz val="10"/>
        <rFont val="Noto Sans TC"/>
        <family val="2"/>
        <charset val="136"/>
      </rPr>
      <t xml:space="preserve">多飛行小時</t>
    </r>
  </si>
  <si>
    <r>
      <rPr>
        <sz val="10"/>
        <rFont val="Noto Sans TC"/>
        <family val="2"/>
        <charset val="136"/>
      </rPr>
      <t xml:space="preserve">發射日期時間 </t>
    </r>
    <r>
      <rPr>
        <sz val="10"/>
        <rFont val="Aptos"/>
        <family val="0"/>
        <charset val="1"/>
      </rPr>
      <t xml:space="preserve">UTC</t>
    </r>
  </si>
  <si>
    <t xml:space="preserve">1969-07-16 13:32:00</t>
  </si>
  <si>
    <t xml:space="preserve">1970-04-11 19:13:00</t>
  </si>
  <si>
    <r>
      <rPr>
        <sz val="10"/>
        <rFont val="Noto Sans TC"/>
        <family val="2"/>
        <charset val="136"/>
      </rPr>
      <t xml:space="preserve">當地時間分別為 </t>
    </r>
    <r>
      <rPr>
        <sz val="10"/>
        <rFont val="Aptos"/>
        <family val="0"/>
        <charset val="1"/>
      </rPr>
      <t xml:space="preserve">EDT / EST</t>
    </r>
  </si>
  <si>
    <t xml:space="preserve">https://www.nasa.gov/history/apollo-11-mission-overview/ ; https://www.nasa.gov/missions/apollo/apollo-13-mission-details/</t>
  </si>
  <si>
    <r>
      <rPr>
        <sz val="10"/>
        <rFont val="Aptos"/>
        <family val="0"/>
        <charset val="1"/>
      </rPr>
      <t xml:space="preserve">Apollo 11 </t>
    </r>
    <r>
      <rPr>
        <sz val="10"/>
        <rFont val="Noto Sans TC"/>
        <family val="2"/>
        <charset val="136"/>
      </rPr>
      <t xml:space="preserve">航程 </t>
    </r>
    <r>
      <rPr>
        <sz val="10"/>
        <rFont val="Aptos"/>
        <family val="0"/>
        <charset val="1"/>
      </rPr>
      <t xml:space="preserve">/ Apollo 13 </t>
    </r>
    <r>
      <rPr>
        <sz val="10"/>
        <rFont val="Noto Sans TC"/>
        <family val="2"/>
        <charset val="136"/>
      </rPr>
      <t xml:space="preserve">航程</t>
    </r>
  </si>
  <si>
    <t xml:space="preserve">發射場</t>
  </si>
  <si>
    <t xml:space="preserve">Kennedy / Cape Kennedy LC-39A</t>
  </si>
  <si>
    <t xml:space="preserve">Kennedy LC-39A</t>
  </si>
  <si>
    <r>
      <rPr>
        <sz val="10"/>
        <rFont val="Noto Sans TC"/>
        <family val="2"/>
        <charset val="136"/>
      </rPr>
      <t xml:space="preserve">均使用 </t>
    </r>
    <r>
      <rPr>
        <sz val="10"/>
        <rFont val="Aptos"/>
        <family val="0"/>
        <charset val="1"/>
      </rPr>
      <t xml:space="preserve">39A</t>
    </r>
  </si>
  <si>
    <t xml:space="preserve">https://www.nasa.gov/history/apollo-11-mission-overview/ ; https://www.nasa.gov/wp-content/uploads/static/apollo50th/pdf/A13_PressKit.pdf</t>
  </si>
  <si>
    <r>
      <rPr>
        <sz val="10"/>
        <rFont val="Aptos"/>
        <family val="0"/>
        <charset val="1"/>
      </rPr>
      <t xml:space="preserve">Apollo 11 </t>
    </r>
    <r>
      <rPr>
        <sz val="10"/>
        <rFont val="Noto Sans TC"/>
        <family val="2"/>
        <charset val="136"/>
      </rPr>
      <t xml:space="preserve">月面採樣 </t>
    </r>
    <r>
      <rPr>
        <sz val="10"/>
        <rFont val="Aptos"/>
        <family val="0"/>
        <charset val="1"/>
      </rPr>
      <t xml:space="preserve">kg</t>
    </r>
  </si>
  <si>
    <t xml:space="preserve">發射載具</t>
  </si>
  <si>
    <t xml:space="preserve">Saturn V AS-506</t>
  </si>
  <si>
    <t xml:space="preserve">Saturn V SA-508</t>
  </si>
  <si>
    <r>
      <rPr>
        <sz val="10"/>
        <rFont val="Noto Sans TC"/>
        <family val="2"/>
        <charset val="136"/>
      </rPr>
      <t xml:space="preserve">三節式 </t>
    </r>
    <r>
      <rPr>
        <sz val="10"/>
        <rFont val="Aptos"/>
        <family val="0"/>
        <charset val="1"/>
      </rPr>
      <t xml:space="preserve">Saturn V</t>
    </r>
  </si>
  <si>
    <r>
      <rPr>
        <sz val="10"/>
        <rFont val="Aptos"/>
        <family val="0"/>
        <charset val="1"/>
      </rPr>
      <t xml:space="preserve">Apollo 13 </t>
    </r>
    <r>
      <rPr>
        <sz val="10"/>
        <rFont val="Noto Sans TC"/>
        <family val="2"/>
        <charset val="136"/>
      </rPr>
      <t xml:space="preserve">登月狀態</t>
    </r>
  </si>
  <si>
    <t xml:space="preserve">取消</t>
  </si>
  <si>
    <r>
      <rPr>
        <sz val="10"/>
        <rFont val="Noto Sans TC"/>
        <family val="2"/>
        <charset val="136"/>
      </rPr>
      <t xml:space="preserve">指令</t>
    </r>
    <r>
      <rPr>
        <sz val="10"/>
        <rFont val="Aptos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服務艙 </t>
    </r>
    <r>
      <rPr>
        <sz val="10"/>
        <rFont val="Aptos"/>
        <family val="0"/>
        <charset val="1"/>
      </rPr>
      <t xml:space="preserve">CSM</t>
    </r>
  </si>
  <si>
    <r>
      <rPr>
        <sz val="10"/>
        <rFont val="Aptos"/>
        <family val="0"/>
        <charset val="1"/>
      </rPr>
      <t xml:space="preserve">Columbia</t>
    </r>
    <r>
      <rPr>
        <sz val="10"/>
        <rFont val="Noto Sans TC"/>
        <family val="2"/>
        <charset val="136"/>
      </rPr>
      <t xml:space="preserve">（</t>
    </r>
    <r>
      <rPr>
        <sz val="10"/>
        <rFont val="Aptos"/>
        <family val="0"/>
        <charset val="1"/>
      </rPr>
      <t xml:space="preserve">CSM-107</t>
    </r>
    <r>
      <rPr>
        <sz val="10"/>
        <rFont val="Noto Sans TC"/>
        <family val="2"/>
        <charset val="136"/>
      </rPr>
      <t xml:space="preserve">）</t>
    </r>
  </si>
  <si>
    <r>
      <rPr>
        <sz val="10"/>
        <rFont val="Aptos"/>
        <family val="0"/>
        <charset val="1"/>
      </rPr>
      <t xml:space="preserve">Odyssey</t>
    </r>
    <r>
      <rPr>
        <sz val="10"/>
        <rFont val="Noto Sans TC"/>
        <family val="2"/>
        <charset val="136"/>
      </rPr>
      <t xml:space="preserve">（</t>
    </r>
    <r>
      <rPr>
        <sz val="10"/>
        <rFont val="Aptos"/>
        <family val="0"/>
        <charset val="1"/>
      </rPr>
      <t xml:space="preserve">CSM-109</t>
    </r>
    <r>
      <rPr>
        <sz val="10"/>
        <rFont val="Noto Sans TC"/>
        <family val="2"/>
        <charset val="136"/>
      </rPr>
      <t xml:space="preserve">）</t>
    </r>
  </si>
  <si>
    <t xml:space="preserve">CSM = Command and Service Module</t>
  </si>
  <si>
    <t xml:space="preserve">https://www.nasa.gov/history/apollo-11-mission-overview/ ; https://www.lpi.usra.edu/lunar/missions/apollo/apollo_13/</t>
  </si>
  <si>
    <r>
      <rPr>
        <sz val="10"/>
        <rFont val="Noto Sans TC"/>
        <family val="2"/>
        <charset val="136"/>
      </rPr>
      <t xml:space="preserve">登月艙 </t>
    </r>
    <r>
      <rPr>
        <sz val="10"/>
        <rFont val="Aptos"/>
        <family val="0"/>
        <charset val="1"/>
      </rPr>
      <t xml:space="preserve">LM</t>
    </r>
  </si>
  <si>
    <r>
      <rPr>
        <sz val="10"/>
        <rFont val="Aptos"/>
        <family val="0"/>
        <charset val="1"/>
      </rPr>
      <t xml:space="preserve">Eagle</t>
    </r>
    <r>
      <rPr>
        <sz val="10"/>
        <rFont val="Noto Sans TC"/>
        <family val="2"/>
        <charset val="136"/>
      </rPr>
      <t xml:space="preserve">（</t>
    </r>
    <r>
      <rPr>
        <sz val="10"/>
        <rFont val="Aptos"/>
        <family val="0"/>
        <charset val="1"/>
      </rPr>
      <t xml:space="preserve">LM-5</t>
    </r>
    <r>
      <rPr>
        <sz val="10"/>
        <rFont val="Noto Sans TC"/>
        <family val="2"/>
        <charset val="136"/>
      </rPr>
      <t xml:space="preserve">）</t>
    </r>
  </si>
  <si>
    <r>
      <rPr>
        <sz val="10"/>
        <rFont val="Aptos"/>
        <family val="0"/>
        <charset val="1"/>
      </rPr>
      <t xml:space="preserve">Aquarius</t>
    </r>
    <r>
      <rPr>
        <sz val="10"/>
        <rFont val="Noto Sans TC"/>
        <family val="2"/>
        <charset val="136"/>
      </rPr>
      <t xml:space="preserve">（</t>
    </r>
    <r>
      <rPr>
        <sz val="10"/>
        <rFont val="Aptos"/>
        <family val="0"/>
        <charset val="1"/>
      </rPr>
      <t xml:space="preserve">LM-7</t>
    </r>
    <r>
      <rPr>
        <sz val="10"/>
        <rFont val="Noto Sans TC"/>
        <family val="2"/>
        <charset val="136"/>
      </rPr>
      <t xml:space="preserve">）</t>
    </r>
  </si>
  <si>
    <r>
      <rPr>
        <sz val="10"/>
        <rFont val="Aptos"/>
        <family val="0"/>
        <charset val="1"/>
      </rPr>
      <t xml:space="preserve">Apollo 13 LM </t>
    </r>
    <r>
      <rPr>
        <sz val="10"/>
        <rFont val="Noto Sans TC"/>
        <family val="2"/>
        <charset val="136"/>
      </rPr>
      <t xml:space="preserve">作為救生艇</t>
    </r>
  </si>
  <si>
    <t xml:space="preserve">組員</t>
  </si>
  <si>
    <t xml:space="preserve">Neil Armstrong; Michael Collins; Buzz Aldrin</t>
  </si>
  <si>
    <t xml:space="preserve">James Lovell; Jack Swigert; Fred Haise</t>
  </si>
  <si>
    <r>
      <rPr>
        <sz val="10"/>
        <rFont val="Aptos"/>
        <family val="0"/>
        <charset val="1"/>
      </rPr>
      <t xml:space="preserve">Apollo 13 </t>
    </r>
    <r>
      <rPr>
        <sz val="10"/>
        <rFont val="Noto Sans TC"/>
        <family val="2"/>
        <charset val="136"/>
      </rPr>
      <t xml:space="preserve">原 </t>
    </r>
    <r>
      <rPr>
        <sz val="10"/>
        <rFont val="Aptos"/>
        <family val="0"/>
        <charset val="1"/>
      </rPr>
      <t xml:space="preserve">CMP Ken Mattingly </t>
    </r>
    <r>
      <rPr>
        <sz val="10"/>
        <rFont val="Noto Sans TC"/>
        <family val="2"/>
        <charset val="136"/>
      </rPr>
      <t xml:space="preserve">因德國麻疹暴露更換</t>
    </r>
  </si>
  <si>
    <t xml:space="preserve">https://www.lpi.usra.edu/lunar/missions/apollo/apollo_11/ ; https://www.lpi.usra.edu/lunar/missions/apollo/apollo_13/</t>
  </si>
  <si>
    <t xml:space="preserve">任務總時長</t>
  </si>
  <si>
    <t xml:space="preserve">195 h 18 m 35 s</t>
  </si>
  <si>
    <t xml:space="preserve">142 h 54 m 41 s</t>
  </si>
  <si>
    <t xml:space="preserve">見下方換算欄</t>
  </si>
  <si>
    <t xml:space="preserve">https://www.nasa.gov/history/apollo-11-mission-overview/ ; https://www.nasa.gov/wp-content/uploads/2023/04/sp-4029.pdf</t>
  </si>
  <si>
    <t xml:space="preserve">任務總時長（小時）</t>
  </si>
  <si>
    <t xml:space="preserve">公式換算</t>
  </si>
  <si>
    <t xml:space="preserve">總航程（英里）</t>
  </si>
  <si>
    <r>
      <rPr>
        <sz val="10"/>
        <rFont val="Aptos"/>
        <family val="0"/>
        <charset val="1"/>
      </rPr>
      <t xml:space="preserve">Apollo 13 </t>
    </r>
    <r>
      <rPr>
        <sz val="10"/>
        <rFont val="Noto Sans TC"/>
        <family val="2"/>
        <charset val="136"/>
      </rPr>
      <t xml:space="preserve">為繞月返回總航程</t>
    </r>
  </si>
  <si>
    <t xml:space="preserve">最大離地距離</t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</si>
  <si>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400,171 km / 248,655 mi</t>
    </r>
  </si>
  <si>
    <t xml:space="preserve">400,171 km / 248,655 mi</t>
  </si>
  <si>
    <r>
      <rPr>
        <sz val="10"/>
        <rFont val="Aptos"/>
        <family val="0"/>
        <charset val="1"/>
      </rPr>
      <t xml:space="preserve">Apollo 13 </t>
    </r>
    <r>
      <rPr>
        <sz val="10"/>
        <rFont val="Noto Sans TC"/>
        <family val="2"/>
        <charset val="136"/>
      </rPr>
      <t xml:space="preserve">保持最遠人類離地紀錄至 </t>
    </r>
    <r>
      <rPr>
        <sz val="10"/>
        <rFont val="Aptos"/>
        <family val="0"/>
        <charset val="1"/>
      </rPr>
      <t xml:space="preserve">2026 </t>
    </r>
    <r>
      <rPr>
        <sz val="10"/>
        <rFont val="Noto Sans TC"/>
        <family val="2"/>
        <charset val="136"/>
      </rPr>
      <t xml:space="preserve">年 </t>
    </r>
    <r>
      <rPr>
        <sz val="10"/>
        <rFont val="Aptos"/>
        <family val="0"/>
        <charset val="1"/>
      </rPr>
      <t xml:space="preserve">Artemis II </t>
    </r>
    <r>
      <rPr>
        <sz val="10"/>
        <rFont val="Noto Sans TC"/>
        <family val="2"/>
        <charset val="136"/>
      </rPr>
      <t xml:space="preserve">超越</t>
    </r>
  </si>
  <si>
    <t xml:space="preserve">https://www.nasa.gov/wp-content/uploads/2023/04/sp-4029.pdf</t>
  </si>
  <si>
    <r>
      <rPr>
        <sz val="10"/>
        <rFont val="Noto Sans TC"/>
        <family val="2"/>
        <charset val="136"/>
      </rPr>
      <t xml:space="preserve">月面</t>
    </r>
    <r>
      <rPr>
        <sz val="10"/>
        <rFont val="Aptos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繞月結果</t>
    </r>
  </si>
  <si>
    <r>
      <rPr>
        <sz val="10"/>
        <rFont val="Aptos"/>
        <family val="0"/>
        <charset val="1"/>
      </rPr>
      <t xml:space="preserve">Sea of Tranquility </t>
    </r>
    <r>
      <rPr>
        <sz val="10"/>
        <rFont val="Noto Sans TC"/>
        <family val="2"/>
        <charset val="136"/>
      </rPr>
      <t xml:space="preserve">著陸；採樣 </t>
    </r>
    <r>
      <rPr>
        <sz val="10"/>
        <rFont val="Aptos"/>
        <family val="0"/>
        <charset val="1"/>
      </rPr>
      <t xml:space="preserve">21.6 kg</t>
    </r>
  </si>
  <si>
    <t xml:space="preserve">未著陸；繞月後返回</t>
  </si>
  <si>
    <r>
      <rPr>
        <sz val="10"/>
        <rFont val="Aptos"/>
        <family val="0"/>
        <charset val="1"/>
      </rPr>
      <t xml:space="preserve">Apollo 13 </t>
    </r>
    <r>
      <rPr>
        <sz val="10"/>
        <rFont val="Noto Sans TC"/>
        <family val="2"/>
        <charset val="136"/>
      </rPr>
      <t xml:space="preserve">月球近拋點後返航</t>
    </r>
  </si>
  <si>
    <r>
      <rPr>
        <sz val="10"/>
        <rFont val="Noto Sans TC"/>
        <family val="2"/>
        <charset val="136"/>
      </rPr>
      <t xml:space="preserve">濺落日期時間 </t>
    </r>
    <r>
      <rPr>
        <sz val="10"/>
        <rFont val="Aptos"/>
        <family val="0"/>
        <charset val="1"/>
      </rPr>
      <t xml:space="preserve">UTC</t>
    </r>
  </si>
  <si>
    <t xml:space="preserve">1969-07-24 16:50:35</t>
  </si>
  <si>
    <t xml:space="preserve">1970-04-17 18:07:41</t>
  </si>
  <si>
    <t xml:space="preserve">均太平洋濺落</t>
  </si>
  <si>
    <t xml:space="preserve">任務結論</t>
  </si>
  <si>
    <t xml:space="preserve">成功完成首次載人登月並返回</t>
  </si>
  <si>
    <r>
      <rPr>
        <sz val="10"/>
        <rFont val="Noto Sans TC"/>
        <family val="2"/>
        <charset val="136"/>
      </rPr>
      <t xml:space="preserve">成功救回組員；</t>
    </r>
    <r>
      <rPr>
        <sz val="10"/>
        <rFont val="Aptos"/>
        <family val="0"/>
        <charset val="1"/>
      </rPr>
      <t xml:space="preserve">NASA </t>
    </r>
    <r>
      <rPr>
        <sz val="10"/>
        <rFont val="Noto Sans TC"/>
        <family val="2"/>
        <charset val="136"/>
      </rPr>
      <t xml:space="preserve">稱「成功的失敗」</t>
    </r>
  </si>
  <si>
    <r>
      <rPr>
        <sz val="10"/>
        <rFont val="Aptos"/>
        <family val="0"/>
        <charset val="1"/>
      </rPr>
      <t xml:space="preserve">Apollo 13 </t>
    </r>
    <r>
      <rPr>
        <sz val="10"/>
        <rFont val="Noto Sans TC"/>
        <family val="2"/>
        <charset val="136"/>
      </rPr>
      <t xml:space="preserve">獲大量事故處理經驗</t>
    </r>
  </si>
  <si>
    <r>
      <rPr>
        <b val="true"/>
        <sz val="16"/>
        <color rgb="FFFFFFFF"/>
        <rFont val="Noto Sans TC"/>
        <family val="2"/>
        <charset val="136"/>
      </rPr>
      <t xml:space="preserve">發射數據、</t>
    </r>
    <r>
      <rPr>
        <b val="true"/>
        <sz val="16"/>
        <color rgb="FFFFFFFF"/>
        <rFont val="Aptos"/>
        <family val="0"/>
        <charset val="1"/>
      </rPr>
      <t xml:space="preserve">Saturn V </t>
    </r>
    <r>
      <rPr>
        <b val="true"/>
        <sz val="16"/>
        <color rgb="FFFFFFFF"/>
        <rFont val="Noto Sans TC"/>
        <family val="2"/>
        <charset val="136"/>
      </rPr>
      <t xml:space="preserve">與任務硬體</t>
    </r>
  </si>
  <si>
    <t xml:space="preserve">項目</t>
  </si>
  <si>
    <r>
      <rPr>
        <b val="true"/>
        <sz val="10"/>
        <color rgb="FFFFFFFF"/>
        <rFont val="Noto Sans TC"/>
        <family val="2"/>
        <charset val="136"/>
      </rPr>
      <t xml:space="preserve">單位</t>
    </r>
    <r>
      <rPr>
        <b val="true"/>
        <sz val="10"/>
        <color rgb="FFFFFFFF"/>
        <rFont val="Aptos"/>
        <family val="0"/>
        <charset val="1"/>
      </rPr>
      <t xml:space="preserve">/</t>
    </r>
    <r>
      <rPr>
        <b val="true"/>
        <sz val="10"/>
        <color rgb="FFFFFFFF"/>
        <rFont val="Noto Sans TC"/>
        <family val="2"/>
        <charset val="136"/>
      </rPr>
      <t xml:space="preserve">格式</t>
    </r>
  </si>
  <si>
    <t xml:space="preserve">來源</t>
  </si>
  <si>
    <r>
      <rPr>
        <sz val="10"/>
        <rFont val="Noto Sans TC"/>
        <family val="2"/>
        <charset val="136"/>
      </rPr>
      <t xml:space="preserve">發射 </t>
    </r>
    <r>
      <rPr>
        <sz val="10"/>
        <rFont val="Aptos"/>
        <family val="0"/>
        <charset val="1"/>
      </rPr>
      <t xml:space="preserve">UTC</t>
    </r>
  </si>
  <si>
    <t xml:space="preserve">YYYY-MM-DD HH:MM:SS</t>
  </si>
  <si>
    <t xml:space="preserve">當地發射時間</t>
  </si>
  <si>
    <t xml:space="preserve">1969-07-16 09:32 EDT</t>
  </si>
  <si>
    <t xml:space="preserve">1970-04-11 14:13 EST</t>
  </si>
  <si>
    <t xml:space="preserve">美國東部時間</t>
  </si>
  <si>
    <t xml:space="preserve">LC-39A</t>
  </si>
  <si>
    <t xml:space="preserve">Kennedy / Cape Kennedy</t>
  </si>
  <si>
    <t xml:space="preserve">火箭型號</t>
  </si>
  <si>
    <t xml:space="preserve">任務編號</t>
  </si>
  <si>
    <r>
      <rPr>
        <sz val="10"/>
        <rFont val="Noto Sans TC"/>
        <family val="2"/>
        <charset val="136"/>
      </rPr>
      <t xml:space="preserve">發射平台</t>
    </r>
    <r>
      <rPr>
        <sz val="10"/>
        <rFont val="Aptos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高灣</t>
    </r>
  </si>
  <si>
    <t xml:space="preserve">MLP-1 / High Bay 1</t>
  </si>
  <si>
    <t xml:space="preserve">MLP-3 / High Bay 1</t>
  </si>
  <si>
    <r>
      <rPr>
        <sz val="10"/>
        <rFont val="Aptos"/>
        <family val="0"/>
        <charset val="1"/>
      </rPr>
      <t xml:space="preserve">Apollo 11 NASA </t>
    </r>
    <r>
      <rPr>
        <sz val="10"/>
        <rFont val="Noto Sans TC"/>
        <family val="2"/>
        <charset val="136"/>
      </rPr>
      <t xml:space="preserve">頁列明；</t>
    </r>
    <r>
      <rPr>
        <sz val="10"/>
        <rFont val="Aptos"/>
        <family val="0"/>
        <charset val="1"/>
      </rPr>
      <t xml:space="preserve">A13 </t>
    </r>
    <r>
      <rPr>
        <sz val="10"/>
        <rFont val="Noto Sans TC"/>
        <family val="2"/>
        <charset val="136"/>
      </rPr>
      <t xml:space="preserve">見 </t>
    </r>
    <r>
      <rPr>
        <sz val="10"/>
        <rFont val="Aptos"/>
        <family val="0"/>
        <charset val="1"/>
      </rPr>
      <t xml:space="preserve">Press Kit/By Numbers</t>
    </r>
  </si>
  <si>
    <t xml:space="preserve">入地球停泊軌道時間</t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</si>
  <si>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T+11 min 49 s</t>
    </r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</si>
  <si>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T+11 min 53 s</t>
    </r>
  </si>
  <si>
    <t xml:space="preserve">約值；依任務飛行資料</t>
  </si>
  <si>
    <t xml:space="preserve">首次地球停泊軌道</t>
  </si>
  <si>
    <t xml:space="preserve">114 x 116 mi</t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</si>
  <si>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100 x 100 nmi</t>
    </r>
  </si>
  <si>
    <t xml:space="preserve">高度</t>
  </si>
  <si>
    <t xml:space="preserve">地球軌道傾角</t>
  </si>
  <si>
    <t xml:space="preserve">32.521</t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</si>
  <si>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32.55</t>
    </r>
  </si>
  <si>
    <t xml:space="preserve">deg</t>
  </si>
  <si>
    <r>
      <rPr>
        <sz val="10"/>
        <rFont val="Aptos"/>
        <family val="0"/>
        <charset val="1"/>
      </rPr>
      <t xml:space="preserve">TLI </t>
    </r>
    <r>
      <rPr>
        <sz val="10"/>
        <rFont val="Noto Sans TC"/>
        <family val="2"/>
        <charset val="136"/>
      </rPr>
      <t xml:space="preserve">點火</t>
    </r>
  </si>
  <si>
    <t xml:space="preserve">T+2 h 44 m</t>
  </si>
  <si>
    <r>
      <rPr>
        <sz val="10"/>
        <rFont val="Aptos"/>
        <family val="0"/>
        <charset val="1"/>
      </rPr>
      <t xml:space="preserve">T+2 h 35 m </t>
    </r>
    <r>
      <rPr>
        <sz val="10"/>
        <rFont val="Noto Sans TC"/>
        <family val="2"/>
        <charset val="136"/>
      </rPr>
      <t xml:space="preserve">左右</t>
    </r>
  </si>
  <si>
    <t xml:space="preserve">Translunar Injection</t>
  </si>
  <si>
    <r>
      <rPr>
        <sz val="10"/>
        <rFont val="Aptos"/>
        <family val="0"/>
        <charset val="1"/>
      </rPr>
      <t xml:space="preserve">S-IVB </t>
    </r>
    <r>
      <rPr>
        <sz val="10"/>
        <rFont val="Noto Sans TC"/>
        <family val="2"/>
        <charset val="136"/>
      </rPr>
      <t xml:space="preserve">月面撞擊</t>
    </r>
  </si>
  <si>
    <t xml:space="preserve">不適用；注入日心軌道</t>
  </si>
  <si>
    <t xml:space="preserve">成功撞擊月球</t>
  </si>
  <si>
    <r>
      <rPr>
        <sz val="10"/>
        <rFont val="Aptos"/>
        <family val="0"/>
        <charset val="1"/>
      </rPr>
      <t xml:space="preserve">Apollo 13 </t>
    </r>
    <r>
      <rPr>
        <sz val="10"/>
        <rFont val="Noto Sans TC"/>
        <family val="2"/>
        <charset val="136"/>
      </rPr>
      <t xml:space="preserve">用於月震實驗</t>
    </r>
  </si>
  <si>
    <t xml:space="preserve">https://www.nasa.gov/missions/apollo/apollo-13-mission-details/ ; https://www.nasa.gov/wp-content/uploads/2023/04/sp-4029.pdf</t>
  </si>
  <si>
    <r>
      <rPr>
        <sz val="10"/>
        <rFont val="Aptos"/>
        <family val="0"/>
        <charset val="1"/>
      </rPr>
      <t xml:space="preserve">CSM </t>
    </r>
    <r>
      <rPr>
        <sz val="10"/>
        <rFont val="Noto Sans TC"/>
        <family val="2"/>
        <charset val="136"/>
      </rPr>
      <t xml:space="preserve">質量</t>
    </r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</si>
  <si>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28,800–30,300</t>
    </r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</si>
  <si>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28,881</t>
    </r>
  </si>
  <si>
    <r>
      <rPr>
        <sz val="10"/>
        <rFont val="Aptos"/>
        <family val="0"/>
        <charset val="1"/>
      </rPr>
      <t xml:space="preserve">kg</t>
    </r>
    <r>
      <rPr>
        <sz val="10"/>
        <rFont val="Noto Sans TC"/>
        <family val="2"/>
        <charset val="136"/>
      </rPr>
      <t xml:space="preserve">；依配置與資料表略有差異</t>
    </r>
  </si>
  <si>
    <r>
      <rPr>
        <sz val="10"/>
        <rFont val="Aptos"/>
        <family val="0"/>
        <charset val="1"/>
      </rPr>
      <t xml:space="preserve">LM </t>
    </r>
    <r>
      <rPr>
        <sz val="10"/>
        <rFont val="Noto Sans TC"/>
        <family val="2"/>
        <charset val="136"/>
      </rPr>
      <t xml:space="preserve">質量</t>
    </r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</si>
  <si>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15,000</t>
    </r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</si>
  <si>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15,188</t>
    </r>
  </si>
  <si>
    <t xml:space="preserve">總太空船發射質量</t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</si>
  <si>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49,700 kg / 109,646 lb</t>
    </r>
  </si>
  <si>
    <t xml:space="preserve">44,069 kg</t>
  </si>
  <si>
    <r>
      <rPr>
        <sz val="10"/>
        <rFont val="Noto Sans TC"/>
        <family val="2"/>
        <charset val="136"/>
      </rPr>
      <t xml:space="preserve">資料來源口徑可能不同：含</t>
    </r>
    <r>
      <rPr>
        <sz val="10"/>
        <rFont val="Aptos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不含消耗品、適配器</t>
    </r>
  </si>
  <si>
    <r>
      <rPr>
        <b val="true"/>
        <sz val="16"/>
        <color rgb="FFFFFFFF"/>
        <rFont val="Noto Sans TC"/>
        <family val="2"/>
        <charset val="136"/>
      </rPr>
      <t xml:space="preserve">主要飛行時間軸（</t>
    </r>
    <r>
      <rPr>
        <b val="true"/>
        <sz val="16"/>
        <color rgb="FFFFFFFF"/>
        <rFont val="Aptos"/>
        <family val="0"/>
        <charset val="1"/>
      </rPr>
      <t xml:space="preserve">MET </t>
    </r>
    <r>
      <rPr>
        <b val="true"/>
        <sz val="16"/>
        <color rgb="FFFFFFFF"/>
        <rFont val="Noto Sans TC"/>
        <family val="2"/>
        <charset val="136"/>
      </rPr>
      <t xml:space="preserve">與 </t>
    </r>
    <r>
      <rPr>
        <b val="true"/>
        <sz val="16"/>
        <color rgb="FFFFFFFF"/>
        <rFont val="Aptos"/>
        <family val="0"/>
        <charset val="1"/>
      </rPr>
      <t xml:space="preserve">UTC</t>
    </r>
    <r>
      <rPr>
        <b val="true"/>
        <sz val="16"/>
        <color rgb="FFFFFFFF"/>
        <rFont val="Noto Sans TC"/>
        <family val="2"/>
        <charset val="136"/>
      </rPr>
      <t xml:space="preserve">）</t>
    </r>
  </si>
  <si>
    <r>
      <rPr>
        <i val="true"/>
        <sz val="10"/>
        <color rgb="FF404040"/>
        <rFont val="Aptos"/>
        <family val="0"/>
        <charset val="1"/>
      </rPr>
      <t xml:space="preserve">MET = Mission Elapsed Time</t>
    </r>
    <r>
      <rPr>
        <i val="true"/>
        <sz val="10"/>
        <color rgb="FF404040"/>
        <rFont val="Noto Sans TC"/>
        <family val="2"/>
        <charset val="136"/>
      </rPr>
      <t xml:space="preserve">。某些事件 </t>
    </r>
    <r>
      <rPr>
        <i val="true"/>
        <sz val="10"/>
        <color rgb="FF404040"/>
        <rFont val="Aptos"/>
        <family val="0"/>
        <charset val="1"/>
      </rPr>
      <t xml:space="preserve">UTC </t>
    </r>
    <r>
      <rPr>
        <i val="true"/>
        <sz val="10"/>
        <color rgb="FF404040"/>
        <rFont val="Noto Sans TC"/>
        <family val="2"/>
        <charset val="136"/>
      </rPr>
      <t xml:space="preserve">依來源描述換算或採任務日誌常用時間。</t>
    </r>
  </si>
  <si>
    <t xml:space="preserve">任務</t>
  </si>
  <si>
    <t xml:space="preserve">MET</t>
  </si>
  <si>
    <r>
      <rPr>
        <b val="true"/>
        <sz val="10"/>
        <color rgb="FFFFFFFF"/>
        <rFont val="Aptos"/>
        <family val="0"/>
        <charset val="1"/>
      </rPr>
      <t xml:space="preserve">UTC / </t>
    </r>
    <r>
      <rPr>
        <b val="true"/>
        <sz val="10"/>
        <color rgb="FFFFFFFF"/>
        <rFont val="Noto Sans TC"/>
        <family val="2"/>
        <charset val="136"/>
      </rPr>
      <t xml:space="preserve">日期</t>
    </r>
  </si>
  <si>
    <t xml:space="preserve">事件</t>
  </si>
  <si>
    <r>
      <rPr>
        <b val="true"/>
        <sz val="10"/>
        <color rgb="FFFFFFFF"/>
        <rFont val="Noto Sans TC"/>
        <family val="2"/>
        <charset val="136"/>
      </rPr>
      <t xml:space="preserve">數值</t>
    </r>
    <r>
      <rPr>
        <b val="true"/>
        <sz val="10"/>
        <color rgb="FFFFFFFF"/>
        <rFont val="Aptos"/>
        <family val="0"/>
        <charset val="1"/>
      </rPr>
      <t xml:space="preserve">/</t>
    </r>
    <r>
      <rPr>
        <b val="true"/>
        <sz val="10"/>
        <color rgb="FFFFFFFF"/>
        <rFont val="Noto Sans TC"/>
        <family val="2"/>
        <charset val="136"/>
      </rPr>
      <t xml:space="preserve">結果</t>
    </r>
  </si>
  <si>
    <t xml:space="preserve">Apollo 11</t>
  </si>
  <si>
    <t xml:space="preserve">00:00:00</t>
  </si>
  <si>
    <t xml:space="preserve">發射</t>
  </si>
  <si>
    <r>
      <rPr>
        <sz val="10"/>
        <rFont val="Aptos"/>
        <family val="0"/>
        <charset val="1"/>
      </rPr>
      <t xml:space="preserve">Saturn V AS-506 </t>
    </r>
    <r>
      <rPr>
        <sz val="10"/>
        <rFont val="Noto Sans TC"/>
        <family val="2"/>
        <charset val="136"/>
      </rPr>
      <t xml:space="preserve">自 </t>
    </r>
    <r>
      <rPr>
        <sz val="10"/>
        <rFont val="Aptos"/>
        <family val="0"/>
        <charset val="1"/>
      </rPr>
      <t xml:space="preserve">LC-39A </t>
    </r>
    <r>
      <rPr>
        <sz val="10"/>
        <rFont val="Noto Sans TC"/>
        <family val="2"/>
        <charset val="136"/>
      </rPr>
      <t xml:space="preserve">發射</t>
    </r>
  </si>
  <si>
    <t xml:space="preserve">https://www.nasa.gov/history/apollo-11-mission-overview/</t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</si>
  <si>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00:12</t>
    </r>
  </si>
  <si>
    <t xml:space="preserve">1969-07-16</t>
  </si>
  <si>
    <t xml:space="preserve">進入地球停泊軌道</t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</si>
  <si>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114 x 116 mi</t>
    </r>
  </si>
  <si>
    <t xml:space="preserve">02:44</t>
  </si>
  <si>
    <r>
      <rPr>
        <sz val="10"/>
        <rFont val="Aptos"/>
        <family val="0"/>
        <charset val="1"/>
      </rPr>
      <t xml:space="preserve">S-IVB TLI </t>
    </r>
    <r>
      <rPr>
        <sz val="10"/>
        <rFont val="Noto Sans TC"/>
        <family val="2"/>
        <charset val="136"/>
      </rPr>
      <t xml:space="preserve">點火</t>
    </r>
  </si>
  <si>
    <r>
      <rPr>
        <sz val="10"/>
        <rFont val="Noto Sans TC"/>
        <family val="2"/>
        <charset val="136"/>
      </rPr>
      <t xml:space="preserve">第二次點火 </t>
    </r>
    <r>
      <rPr>
        <sz val="10"/>
        <rFont val="Aptos"/>
        <family val="0"/>
        <charset val="1"/>
      </rPr>
      <t xml:space="preserve">5 m 48 s</t>
    </r>
  </si>
  <si>
    <t xml:space="preserve">04:40</t>
  </si>
  <si>
    <r>
      <rPr>
        <sz val="10"/>
        <rFont val="Aptos"/>
        <family val="0"/>
        <charset val="1"/>
      </rPr>
      <t xml:space="preserve">S-IVB </t>
    </r>
    <r>
      <rPr>
        <sz val="10"/>
        <rFont val="Noto Sans TC"/>
        <family val="2"/>
        <charset val="136"/>
      </rPr>
      <t xml:space="preserve">分離</t>
    </r>
  </si>
  <si>
    <t xml:space="preserve">第三節進入日心軌道</t>
  </si>
  <si>
    <t xml:space="preserve">75:50</t>
  </si>
  <si>
    <t xml:space="preserve">1969-07-19</t>
  </si>
  <si>
    <r>
      <rPr>
        <sz val="10"/>
        <rFont val="Noto Sans TC"/>
        <family val="2"/>
        <charset val="136"/>
      </rPr>
      <t xml:space="preserve">第一次 </t>
    </r>
    <r>
      <rPr>
        <sz val="10"/>
        <rFont val="Aptos"/>
        <family val="0"/>
        <charset val="1"/>
      </rPr>
      <t xml:space="preserve">LOI</t>
    </r>
  </si>
  <si>
    <r>
      <rPr>
        <sz val="10"/>
        <rFont val="Aptos"/>
        <family val="0"/>
        <charset val="1"/>
      </rPr>
      <t xml:space="preserve">SPS 357.5 s</t>
    </r>
    <r>
      <rPr>
        <sz val="10"/>
        <rFont val="Noto Sans TC"/>
        <family val="2"/>
        <charset val="136"/>
      </rPr>
      <t xml:space="preserve">；</t>
    </r>
    <r>
      <rPr>
        <sz val="10"/>
        <rFont val="Aptos"/>
        <family val="0"/>
        <charset val="1"/>
      </rPr>
      <t xml:space="preserve">69 x 190 mi</t>
    </r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</si>
  <si>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80:12</t>
    </r>
  </si>
  <si>
    <t xml:space="preserve">1969-07-19/20</t>
  </si>
  <si>
    <r>
      <rPr>
        <sz val="10"/>
        <rFont val="Noto Sans TC"/>
        <family val="2"/>
        <charset val="136"/>
      </rPr>
      <t xml:space="preserve">第二次 </t>
    </r>
    <r>
      <rPr>
        <sz val="10"/>
        <rFont val="Aptos"/>
        <family val="0"/>
        <charset val="1"/>
      </rPr>
      <t xml:space="preserve">LOI/</t>
    </r>
    <r>
      <rPr>
        <sz val="10"/>
        <rFont val="Noto Sans TC"/>
        <family val="2"/>
        <charset val="136"/>
      </rPr>
      <t xml:space="preserve">圓化</t>
    </r>
  </si>
  <si>
    <r>
      <rPr>
        <sz val="10"/>
        <rFont val="Aptos"/>
        <family val="0"/>
        <charset val="1"/>
      </rPr>
      <t xml:space="preserve">SPS 17 s</t>
    </r>
    <r>
      <rPr>
        <sz val="10"/>
        <rFont val="Noto Sans TC"/>
        <family val="2"/>
        <charset val="136"/>
      </rPr>
      <t xml:space="preserve">；</t>
    </r>
    <r>
      <rPr>
        <sz val="10"/>
        <rFont val="Aptos"/>
        <family val="0"/>
        <charset val="1"/>
      </rPr>
      <t xml:space="preserve">62 x 70.5 mi</t>
    </r>
  </si>
  <si>
    <t xml:space="preserve">100:12</t>
  </si>
  <si>
    <t xml:space="preserve">1969-07-20</t>
  </si>
  <si>
    <r>
      <rPr>
        <sz val="10"/>
        <rFont val="Aptos"/>
        <family val="0"/>
        <charset val="1"/>
      </rPr>
      <t xml:space="preserve">LM Eagle </t>
    </r>
    <r>
      <rPr>
        <sz val="10"/>
        <rFont val="Noto Sans TC"/>
        <family val="2"/>
        <charset val="136"/>
      </rPr>
      <t xml:space="preserve">分離</t>
    </r>
  </si>
  <si>
    <t xml:space="preserve">準備下降</t>
  </si>
  <si>
    <t xml:space="preserve">101:36</t>
  </si>
  <si>
    <t xml:space="preserve">下降軌道插入</t>
  </si>
  <si>
    <r>
      <rPr>
        <sz val="10"/>
        <rFont val="Aptos"/>
        <family val="0"/>
        <charset val="1"/>
      </rPr>
      <t xml:space="preserve">LM descent engine 30 s</t>
    </r>
    <r>
      <rPr>
        <sz val="10"/>
        <rFont val="Noto Sans TC"/>
        <family val="2"/>
        <charset val="136"/>
      </rPr>
      <t xml:space="preserve">；</t>
    </r>
    <r>
      <rPr>
        <sz val="10"/>
        <rFont val="Aptos"/>
        <family val="0"/>
        <charset val="1"/>
      </rPr>
      <t xml:space="preserve">9 x 67 mi</t>
    </r>
  </si>
  <si>
    <t xml:space="preserve">102:33</t>
  </si>
  <si>
    <t xml:space="preserve">Powered Descent Initiation</t>
  </si>
  <si>
    <r>
      <rPr>
        <sz val="10"/>
        <rFont val="Noto Sans TC"/>
        <family val="2"/>
        <charset val="136"/>
      </rPr>
      <t xml:space="preserve">下降引擎 </t>
    </r>
    <r>
      <rPr>
        <sz val="10"/>
        <rFont val="Aptos"/>
        <family val="0"/>
        <charset val="1"/>
      </rPr>
      <t xml:space="preserve">756.3 s</t>
    </r>
  </si>
  <si>
    <t xml:space="preserve">102:45:40</t>
  </si>
  <si>
    <t xml:space="preserve">1969-07-20 20:17:40</t>
  </si>
  <si>
    <t xml:space="preserve">月面著陸</t>
  </si>
  <si>
    <t xml:space="preserve">Tranquility Base</t>
  </si>
  <si>
    <t xml:space="preserve">https://www.nasa.gov/history/apollo-11-mission-overview/ ; https://www.lpi.usra.edu/lunar/missions/apollo/apollo_11/</t>
  </si>
  <si>
    <t xml:space="preserve">109:42</t>
  </si>
  <si>
    <t xml:space="preserve">1969-07-21</t>
  </si>
  <si>
    <r>
      <rPr>
        <sz val="10"/>
        <rFont val="Aptos"/>
        <family val="0"/>
        <charset val="1"/>
      </rPr>
      <t xml:space="preserve">Armstrong </t>
    </r>
    <r>
      <rPr>
        <sz val="10"/>
        <rFont val="Noto Sans TC"/>
        <family val="2"/>
        <charset val="136"/>
      </rPr>
      <t xml:space="preserve">踏上月面</t>
    </r>
  </si>
  <si>
    <r>
      <rPr>
        <sz val="10"/>
        <rFont val="Aptos"/>
        <family val="0"/>
        <charset val="1"/>
      </rPr>
      <t xml:space="preserve">EVA </t>
    </r>
    <r>
      <rPr>
        <sz val="10"/>
        <rFont val="Noto Sans TC"/>
        <family val="2"/>
        <charset val="136"/>
      </rPr>
      <t xml:space="preserve">開始後不久</t>
    </r>
  </si>
  <si>
    <t xml:space="preserve">111:39</t>
  </si>
  <si>
    <r>
      <rPr>
        <sz val="10"/>
        <rFont val="Aptos"/>
        <family val="0"/>
        <charset val="1"/>
      </rPr>
      <t xml:space="preserve">EVA </t>
    </r>
    <r>
      <rPr>
        <sz val="10"/>
        <rFont val="Noto Sans TC"/>
        <family val="2"/>
        <charset val="136"/>
      </rPr>
      <t xml:space="preserve">結束</t>
    </r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</si>
  <si>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2 h 31 m 40 s</t>
    </r>
  </si>
  <si>
    <t xml:space="preserve">124:22</t>
  </si>
  <si>
    <r>
      <rPr>
        <sz val="10"/>
        <rFont val="Aptos"/>
        <family val="0"/>
        <charset val="1"/>
      </rPr>
      <t xml:space="preserve">LM ascent </t>
    </r>
    <r>
      <rPr>
        <sz val="10"/>
        <rFont val="Noto Sans TC"/>
        <family val="2"/>
        <charset val="136"/>
      </rPr>
      <t xml:space="preserve">起飛</t>
    </r>
  </si>
  <si>
    <r>
      <rPr>
        <sz val="10"/>
        <rFont val="Noto Sans TC"/>
        <family val="2"/>
        <charset val="136"/>
      </rPr>
      <t xml:space="preserve">引擎 </t>
    </r>
    <r>
      <rPr>
        <sz val="10"/>
        <rFont val="Aptos"/>
        <family val="0"/>
        <charset val="1"/>
      </rPr>
      <t xml:space="preserve">435 s</t>
    </r>
    <r>
      <rPr>
        <sz val="10"/>
        <rFont val="Noto Sans TC"/>
        <family val="2"/>
        <charset val="136"/>
      </rPr>
      <t xml:space="preserve">；</t>
    </r>
    <r>
      <rPr>
        <sz val="10"/>
        <rFont val="Aptos"/>
        <family val="0"/>
        <charset val="1"/>
      </rPr>
      <t xml:space="preserve">11 x 55 mi</t>
    </r>
  </si>
  <si>
    <t xml:space="preserve">128:03</t>
  </si>
  <si>
    <r>
      <rPr>
        <sz val="10"/>
        <rFont val="Noto Sans TC"/>
        <family val="2"/>
        <charset val="136"/>
      </rPr>
      <t xml:space="preserve">與 </t>
    </r>
    <r>
      <rPr>
        <sz val="10"/>
        <rFont val="Aptos"/>
        <family val="0"/>
        <charset val="1"/>
      </rPr>
      <t xml:space="preserve">Columbia </t>
    </r>
    <r>
      <rPr>
        <sz val="10"/>
        <rFont val="Noto Sans TC"/>
        <family val="2"/>
        <charset val="136"/>
      </rPr>
      <t xml:space="preserve">對接</t>
    </r>
  </si>
  <si>
    <r>
      <rPr>
        <sz val="10"/>
        <rFont val="Aptos"/>
        <family val="0"/>
        <charset val="1"/>
      </rPr>
      <t xml:space="preserve">CSM </t>
    </r>
    <r>
      <rPr>
        <sz val="10"/>
        <rFont val="Noto Sans TC"/>
        <family val="2"/>
        <charset val="136"/>
      </rPr>
      <t xml:space="preserve">第 </t>
    </r>
    <r>
      <rPr>
        <sz val="10"/>
        <rFont val="Aptos"/>
        <family val="0"/>
        <charset val="1"/>
      </rPr>
      <t xml:space="preserve">27 </t>
    </r>
    <r>
      <rPr>
        <sz val="10"/>
        <rFont val="Noto Sans TC"/>
        <family val="2"/>
        <charset val="136"/>
      </rPr>
      <t xml:space="preserve">圈</t>
    </r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</si>
  <si>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135:24</t>
    </r>
  </si>
  <si>
    <t xml:space="preserve">Trans-Earth Injection</t>
  </si>
  <si>
    <r>
      <rPr>
        <sz val="10"/>
        <rFont val="Aptos"/>
        <family val="0"/>
        <charset val="1"/>
      </rPr>
      <t xml:space="preserve">SPS </t>
    </r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2.5 min</t>
    </r>
  </si>
  <si>
    <t xml:space="preserve">195:18:35</t>
  </si>
  <si>
    <t xml:space="preserve">濺落</t>
  </si>
  <si>
    <r>
      <rPr>
        <sz val="10"/>
        <rFont val="Aptos"/>
        <family val="0"/>
        <charset val="1"/>
      </rPr>
      <t xml:space="preserve">Pacific</t>
    </r>
    <r>
      <rPr>
        <sz val="10"/>
        <rFont val="Noto Sans TC"/>
        <family val="2"/>
        <charset val="136"/>
      </rPr>
      <t xml:space="preserve">；</t>
    </r>
    <r>
      <rPr>
        <sz val="10"/>
        <rFont val="Aptos"/>
        <family val="0"/>
        <charset val="1"/>
      </rPr>
      <t xml:space="preserve">USS Hornet </t>
    </r>
    <r>
      <rPr>
        <sz val="10"/>
        <rFont val="Noto Sans TC"/>
        <family val="2"/>
        <charset val="136"/>
      </rPr>
      <t xml:space="preserve">回收</t>
    </r>
  </si>
  <si>
    <t xml:space="preserve">Apollo 13</t>
  </si>
  <si>
    <r>
      <rPr>
        <sz val="10"/>
        <rFont val="Aptos"/>
        <family val="0"/>
        <charset val="1"/>
      </rPr>
      <t xml:space="preserve">Saturn V SA-508 </t>
    </r>
    <r>
      <rPr>
        <sz val="10"/>
        <rFont val="Noto Sans TC"/>
        <family val="2"/>
        <charset val="136"/>
      </rPr>
      <t xml:space="preserve">自 </t>
    </r>
    <r>
      <rPr>
        <sz val="10"/>
        <rFont val="Aptos"/>
        <family val="0"/>
        <charset val="1"/>
      </rPr>
      <t xml:space="preserve">LC-39A </t>
    </r>
    <r>
      <rPr>
        <sz val="10"/>
        <rFont val="Noto Sans TC"/>
        <family val="2"/>
        <charset val="136"/>
      </rPr>
      <t xml:space="preserve">發射</t>
    </r>
  </si>
  <si>
    <t xml:space="preserve">https://www.nasa.gov/missions/apollo/apollo-13-mission-details/ ; https://www.nasa.gov/wp-content/uploads/static/apollo50th/pdf/A13_PressKit.pdf</t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</si>
  <si>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00:05</t>
    </r>
  </si>
  <si>
    <t xml:space="preserve">1970-04-11</t>
  </si>
  <si>
    <r>
      <rPr>
        <sz val="10"/>
        <rFont val="Aptos"/>
        <family val="0"/>
        <charset val="1"/>
      </rPr>
      <t xml:space="preserve">S-II </t>
    </r>
    <r>
      <rPr>
        <sz val="10"/>
        <rFont val="Noto Sans TC"/>
        <family val="2"/>
        <charset val="136"/>
      </rPr>
      <t xml:space="preserve">中央引擎提前關機</t>
    </r>
  </si>
  <si>
    <r>
      <rPr>
        <sz val="10"/>
        <rFont val="Noto Sans TC"/>
        <family val="2"/>
        <charset val="136"/>
      </rPr>
      <t xml:space="preserve">因 </t>
    </r>
    <r>
      <rPr>
        <sz val="10"/>
        <rFont val="Aptos"/>
        <family val="0"/>
        <charset val="1"/>
      </rPr>
      <t xml:space="preserve">pogo </t>
    </r>
    <r>
      <rPr>
        <sz val="10"/>
        <rFont val="Noto Sans TC"/>
        <family val="2"/>
        <charset val="136"/>
      </rPr>
      <t xml:space="preserve">振盪；其他引擎補償</t>
    </r>
  </si>
  <si>
    <r>
      <rPr>
        <sz val="10"/>
        <rFont val="Noto Sans TC"/>
        <family val="2"/>
        <charset val="136"/>
      </rPr>
      <t xml:space="preserve">接近 </t>
    </r>
    <r>
      <rPr>
        <sz val="10"/>
        <rFont val="Aptos"/>
        <family val="0"/>
        <charset val="1"/>
      </rPr>
      <t xml:space="preserve">190 km </t>
    </r>
    <r>
      <rPr>
        <sz val="10"/>
        <rFont val="Noto Sans TC"/>
        <family val="2"/>
        <charset val="136"/>
      </rPr>
      <t xml:space="preserve">圓軌道</t>
    </r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</si>
  <si>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02:35</t>
    </r>
  </si>
  <si>
    <t xml:space="preserve">TLI</t>
  </si>
  <si>
    <t xml:space="preserve">進入月球轉移軌道</t>
  </si>
  <si>
    <t xml:space="preserve">46:43</t>
  </si>
  <si>
    <t xml:space="preserve">1970-04-13</t>
  </si>
  <si>
    <t xml:space="preserve">任務狀態正常通報</t>
  </si>
  <si>
    <r>
      <rPr>
        <sz val="10"/>
        <rFont val="Noto Sans TC"/>
        <family val="2"/>
        <charset val="136"/>
      </rPr>
      <t xml:space="preserve">地面：「</t>
    </r>
    <r>
      <rPr>
        <sz val="10"/>
        <rFont val="Aptos"/>
        <family val="0"/>
        <charset val="1"/>
      </rPr>
      <t xml:space="preserve">spacecraft is in real good shape</t>
    </r>
    <r>
      <rPr>
        <sz val="10"/>
        <rFont val="Noto Sans TC"/>
        <family val="2"/>
        <charset val="136"/>
      </rPr>
      <t xml:space="preserve">」</t>
    </r>
  </si>
  <si>
    <t xml:space="preserve">55:46</t>
  </si>
  <si>
    <r>
      <rPr>
        <sz val="10"/>
        <rFont val="Aptos"/>
        <family val="0"/>
        <charset val="1"/>
      </rPr>
      <t xml:space="preserve">TV broadcast </t>
    </r>
    <r>
      <rPr>
        <sz val="10"/>
        <rFont val="Noto Sans TC"/>
        <family val="2"/>
        <charset val="136"/>
      </rPr>
      <t xml:space="preserve">後準備關閉 </t>
    </r>
    <r>
      <rPr>
        <sz val="10"/>
        <rFont val="Aptos"/>
        <family val="0"/>
        <charset val="1"/>
      </rPr>
      <t xml:space="preserve">Aquarius</t>
    </r>
  </si>
  <si>
    <r>
      <rPr>
        <sz val="10"/>
        <rFont val="Aptos"/>
        <family val="0"/>
        <charset val="1"/>
      </rPr>
      <t xml:space="preserve">9 </t>
    </r>
    <r>
      <rPr>
        <sz val="10"/>
        <rFont val="Noto Sans TC"/>
        <family val="2"/>
        <charset val="136"/>
      </rPr>
      <t xml:space="preserve">分鐘後事故發生</t>
    </r>
  </si>
  <si>
    <t xml:space="preserve">55:55</t>
  </si>
  <si>
    <r>
      <rPr>
        <sz val="10"/>
        <rFont val="Aptos"/>
        <family val="0"/>
        <charset val="1"/>
      </rPr>
      <t xml:space="preserve">1970-04-14 03:08 UTC </t>
    </r>
    <r>
      <rPr>
        <sz val="10"/>
        <rFont val="Noto Sans TC"/>
        <family val="2"/>
        <charset val="136"/>
      </rPr>
      <t xml:space="preserve">左右</t>
    </r>
  </si>
  <si>
    <r>
      <rPr>
        <sz val="10"/>
        <rFont val="Noto Sans TC"/>
        <family val="2"/>
        <charset val="136"/>
      </rPr>
      <t xml:space="preserve">氧氣槽 </t>
    </r>
    <r>
      <rPr>
        <sz val="10"/>
        <rFont val="Aptos"/>
        <family val="0"/>
        <charset val="1"/>
      </rPr>
      <t xml:space="preserve">2 </t>
    </r>
    <r>
      <rPr>
        <sz val="10"/>
        <rFont val="Noto Sans TC"/>
        <family val="2"/>
        <charset val="136"/>
      </rPr>
      <t xml:space="preserve">爆炸</t>
    </r>
  </si>
  <si>
    <r>
      <rPr>
        <sz val="10"/>
        <rFont val="Noto Sans TC"/>
        <family val="2"/>
        <charset val="136"/>
      </rPr>
      <t xml:space="preserve">失去正常供電</t>
    </r>
    <r>
      <rPr>
        <sz val="10"/>
        <rFont val="Aptos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水</t>
    </r>
    <r>
      <rPr>
        <sz val="10"/>
        <rFont val="Aptos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氧；登月取消</t>
    </r>
  </si>
  <si>
    <t xml:space="preserve">https://www.nasa.gov/missions/apollo/apollo-13-mission-details/ ; https://www.lpi.usra.edu/lunar/missions/apollo/apollo_13/</t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</si>
  <si>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57:00</t>
    </r>
  </si>
  <si>
    <t xml:space="preserve">1970-04-14</t>
  </si>
  <si>
    <r>
      <rPr>
        <sz val="10"/>
        <rFont val="Noto Sans TC"/>
        <family val="2"/>
        <charset val="136"/>
      </rPr>
      <t xml:space="preserve">轉入 </t>
    </r>
    <r>
      <rPr>
        <sz val="10"/>
        <rFont val="Aptos"/>
        <family val="0"/>
        <charset val="1"/>
      </rPr>
      <t xml:space="preserve">LM Aquarius</t>
    </r>
  </si>
  <si>
    <r>
      <rPr>
        <sz val="10"/>
        <rFont val="Aptos"/>
        <family val="0"/>
        <charset val="1"/>
      </rPr>
      <t xml:space="preserve">LM </t>
    </r>
    <r>
      <rPr>
        <sz val="10"/>
        <rFont val="Noto Sans TC"/>
        <family val="2"/>
        <charset val="136"/>
      </rPr>
      <t xml:space="preserve">作為救生艇</t>
    </r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</si>
  <si>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77:00</t>
    </r>
  </si>
  <si>
    <t xml:space="preserve">1970-04-15</t>
  </si>
  <si>
    <r>
      <rPr>
        <sz val="10"/>
        <rFont val="Noto Sans TC"/>
        <family val="2"/>
        <charset val="136"/>
      </rPr>
      <t xml:space="preserve">近月點</t>
    </r>
    <r>
      <rPr>
        <sz val="10"/>
        <rFont val="Aptos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繞月</t>
    </r>
  </si>
  <si>
    <r>
      <rPr>
        <sz val="10"/>
        <rFont val="Noto Sans TC"/>
        <family val="2"/>
        <charset val="136"/>
      </rPr>
      <t xml:space="preserve">最大離地距離約 </t>
    </r>
    <r>
      <rPr>
        <sz val="10"/>
        <rFont val="Aptos"/>
        <family val="0"/>
        <charset val="1"/>
      </rPr>
      <t xml:space="preserve">400,171 km</t>
    </r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</si>
  <si>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79:28</t>
    </r>
  </si>
  <si>
    <r>
      <rPr>
        <sz val="10"/>
        <rFont val="Aptos"/>
        <family val="0"/>
        <charset val="1"/>
      </rPr>
      <t xml:space="preserve">PC+2 </t>
    </r>
    <r>
      <rPr>
        <sz val="10"/>
        <rFont val="Noto Sans TC"/>
        <family val="2"/>
        <charset val="136"/>
      </rPr>
      <t xml:space="preserve">燃燒</t>
    </r>
  </si>
  <si>
    <r>
      <rPr>
        <sz val="10"/>
        <rFont val="Aptos"/>
        <family val="0"/>
        <charset val="1"/>
      </rPr>
      <t xml:space="preserve">LM </t>
    </r>
    <r>
      <rPr>
        <sz val="10"/>
        <rFont val="Noto Sans TC"/>
        <family val="2"/>
        <charset val="136"/>
      </rPr>
      <t xml:space="preserve">下降引擎加速返航</t>
    </r>
  </si>
  <si>
    <t xml:space="preserve">105:18:42</t>
  </si>
  <si>
    <t xml:space="preserve">1970-04-16</t>
  </si>
  <si>
    <t xml:space="preserve">中途修正燃燒</t>
  </si>
  <si>
    <r>
      <rPr>
        <sz val="10"/>
        <rFont val="Aptos"/>
        <family val="0"/>
        <charset val="1"/>
      </rPr>
      <t xml:space="preserve">LM DPS </t>
    </r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14 s</t>
    </r>
  </si>
  <si>
    <t xml:space="preserve">137:40:13</t>
  </si>
  <si>
    <t xml:space="preserve">1970-04-17</t>
  </si>
  <si>
    <t xml:space="preserve">最後航向修正</t>
  </si>
  <si>
    <r>
      <rPr>
        <sz val="10"/>
        <rFont val="Aptos"/>
        <family val="0"/>
        <charset val="1"/>
      </rPr>
      <t xml:space="preserve">LM RCS </t>
    </r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21.5 s</t>
    </r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</si>
  <si>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141:30</t>
    </r>
  </si>
  <si>
    <r>
      <rPr>
        <sz val="10"/>
        <rFont val="Aptos"/>
        <family val="0"/>
        <charset val="1"/>
      </rPr>
      <t xml:space="preserve">SM/LM </t>
    </r>
    <r>
      <rPr>
        <sz val="10"/>
        <rFont val="Noto Sans TC"/>
        <family val="2"/>
        <charset val="136"/>
      </rPr>
      <t xml:space="preserve">分離與再入準備</t>
    </r>
  </si>
  <si>
    <r>
      <rPr>
        <sz val="10"/>
        <rFont val="Noto Sans TC"/>
        <family val="2"/>
        <charset val="136"/>
      </rPr>
      <t xml:space="preserve">首次看見 </t>
    </r>
    <r>
      <rPr>
        <sz val="10"/>
        <rFont val="Aptos"/>
        <family val="0"/>
        <charset val="1"/>
      </rPr>
      <t xml:space="preserve">SM </t>
    </r>
    <r>
      <rPr>
        <sz val="10"/>
        <rFont val="Noto Sans TC"/>
        <family val="2"/>
        <charset val="136"/>
      </rPr>
      <t xml:space="preserve">受損</t>
    </r>
  </si>
  <si>
    <t xml:space="preserve">142:54:41</t>
  </si>
  <si>
    <t xml:space="preserve">South Pacific near Samoa</t>
  </si>
  <si>
    <t xml:space="preserve">https://www.nasa.gov/wp-content/uploads/2023/04/sp-4029.pdf ; https://www.lpi.usra.edu/lunar/missions/apollo/apollo_13/</t>
  </si>
  <si>
    <r>
      <rPr>
        <b val="true"/>
        <sz val="16"/>
        <color rgb="FFFFFFFF"/>
        <rFont val="Noto Sans TC"/>
        <family val="2"/>
        <charset val="136"/>
      </rPr>
      <t xml:space="preserve">軌道、航程、著陸</t>
    </r>
    <r>
      <rPr>
        <b val="true"/>
        <sz val="16"/>
        <color rgb="FFFFFFFF"/>
        <rFont val="Aptos"/>
        <family val="0"/>
        <charset val="1"/>
      </rPr>
      <t xml:space="preserve">/</t>
    </r>
    <r>
      <rPr>
        <b val="true"/>
        <sz val="16"/>
        <color rgb="FFFFFFFF"/>
        <rFont val="Noto Sans TC"/>
        <family val="2"/>
        <charset val="136"/>
      </rPr>
      <t xml:space="preserve">濺落座標</t>
    </r>
  </si>
  <si>
    <t xml:space="preserve">分類</t>
  </si>
  <si>
    <t xml:space="preserve">數據項</t>
  </si>
  <si>
    <t xml:space="preserve">單位</t>
  </si>
  <si>
    <t xml:space="preserve">任務總量</t>
  </si>
  <si>
    <t xml:space="preserve">總時長</t>
  </si>
  <si>
    <t xml:space="preserve">小時</t>
  </si>
  <si>
    <t xml:space="preserve">總航程</t>
  </si>
  <si>
    <t xml:space="preserve">英里</t>
  </si>
  <si>
    <t xml:space="preserve">地球停泊軌道</t>
  </si>
  <si>
    <r>
      <rPr>
        <sz val="10"/>
        <rFont val="Noto Sans TC"/>
        <family val="2"/>
        <charset val="136"/>
      </rPr>
      <t xml:space="preserve">初始軌道近</t>
    </r>
    <r>
      <rPr>
        <sz val="10"/>
        <rFont val="Aptos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遠地點</t>
    </r>
  </si>
  <si>
    <t xml:space="preserve">114 x 116</t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</si>
  <si>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100 x 100</t>
    </r>
  </si>
  <si>
    <r>
      <rPr>
        <sz val="10"/>
        <rFont val="Aptos"/>
        <family val="0"/>
        <charset val="1"/>
      </rPr>
      <t xml:space="preserve">mile / nmi</t>
    </r>
    <r>
      <rPr>
        <sz val="10"/>
        <rFont val="Noto Sans TC"/>
        <family val="2"/>
        <charset val="136"/>
      </rPr>
      <t xml:space="preserve">（來源口徑不同）</t>
    </r>
  </si>
  <si>
    <t xml:space="preserve">傾角</t>
  </si>
  <si>
    <t xml:space="preserve">度</t>
  </si>
  <si>
    <t xml:space="preserve">月球軌道</t>
  </si>
  <si>
    <r>
      <rPr>
        <sz val="10"/>
        <rFont val="Aptos"/>
        <family val="0"/>
        <charset val="1"/>
      </rPr>
      <t xml:space="preserve">LOI </t>
    </r>
    <r>
      <rPr>
        <sz val="10"/>
        <rFont val="Noto Sans TC"/>
        <family val="2"/>
        <charset val="136"/>
      </rPr>
      <t xml:space="preserve">初始軌道</t>
    </r>
  </si>
  <si>
    <t xml:space="preserve">69 x 190</t>
  </si>
  <si>
    <t xml:space="preserve">未進入月球軌道；自由返回</t>
  </si>
  <si>
    <r>
      <rPr>
        <sz val="10"/>
        <rFont val="Noto Sans TC"/>
        <family val="2"/>
        <charset val="136"/>
      </rPr>
      <t xml:space="preserve">著陸前</t>
    </r>
    <r>
      <rPr>
        <sz val="10"/>
        <rFont val="Aptos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操作軌道</t>
    </r>
  </si>
  <si>
    <t xml:space="preserve">62 x 70.5</t>
  </si>
  <si>
    <t xml:space="preserve">不適用</t>
  </si>
  <si>
    <r>
      <rPr>
        <sz val="10"/>
        <rFont val="Aptos"/>
        <family val="0"/>
        <charset val="1"/>
      </rPr>
      <t xml:space="preserve">LM </t>
    </r>
    <r>
      <rPr>
        <sz val="10"/>
        <rFont val="Noto Sans TC"/>
        <family val="2"/>
        <charset val="136"/>
      </rPr>
      <t xml:space="preserve">下降軌道</t>
    </r>
  </si>
  <si>
    <t xml:space="preserve">9 x 67</t>
  </si>
  <si>
    <r>
      <rPr>
        <sz val="10"/>
        <rFont val="Aptos"/>
        <family val="0"/>
        <charset val="1"/>
      </rPr>
      <t xml:space="preserve">LM </t>
    </r>
    <r>
      <rPr>
        <sz val="10"/>
        <rFont val="Noto Sans TC"/>
        <family val="2"/>
        <charset val="136"/>
      </rPr>
      <t xml:space="preserve">上升初始軌道</t>
    </r>
  </si>
  <si>
    <t xml:space="preserve">11 x 55</t>
  </si>
  <si>
    <t xml:space="preserve">月球軌道圈數</t>
  </si>
  <si>
    <t xml:space="preserve">30–31</t>
  </si>
  <si>
    <r>
      <rPr>
        <sz val="10"/>
        <rFont val="Aptos"/>
        <family val="0"/>
        <charset val="1"/>
      </rPr>
      <t xml:space="preserve">0</t>
    </r>
    <r>
      <rPr>
        <sz val="10"/>
        <rFont val="Noto Sans TC"/>
        <family val="2"/>
        <charset val="136"/>
      </rPr>
      <t xml:space="preserve">（繞月飛掠）</t>
    </r>
  </si>
  <si>
    <r>
      <rPr>
        <sz val="10"/>
        <rFont val="Noto Sans TC"/>
        <family val="2"/>
        <charset val="136"/>
      </rPr>
      <t xml:space="preserve">圈；</t>
    </r>
    <r>
      <rPr>
        <sz val="10"/>
        <rFont val="Aptos"/>
        <family val="0"/>
        <charset val="1"/>
      </rPr>
      <t xml:space="preserve">NASA/LPI </t>
    </r>
    <r>
      <rPr>
        <sz val="10"/>
        <rFont val="Noto Sans TC"/>
        <family val="2"/>
        <charset val="136"/>
      </rPr>
      <t xml:space="preserve">口徑略不同</t>
    </r>
  </si>
  <si>
    <t xml:space="preserve">月面</t>
  </si>
  <si>
    <t xml:space="preserve">著陸地點</t>
  </si>
  <si>
    <t xml:space="preserve">Sea of Tranquility / Tranquility Base</t>
  </si>
  <si>
    <r>
      <rPr>
        <sz val="10"/>
        <rFont val="Noto Sans TC"/>
        <family val="2"/>
        <charset val="136"/>
      </rPr>
      <t xml:space="preserve">計畫 </t>
    </r>
    <r>
      <rPr>
        <sz val="10"/>
        <rFont val="Aptos"/>
        <family val="0"/>
        <charset val="1"/>
      </rPr>
      <t xml:space="preserve">Fra Mauro</t>
    </r>
    <r>
      <rPr>
        <sz val="10"/>
        <rFont val="Noto Sans TC"/>
        <family val="2"/>
        <charset val="136"/>
      </rPr>
      <t xml:space="preserve">；取消</t>
    </r>
  </si>
  <si>
    <t xml:space="preserve">地名</t>
  </si>
  <si>
    <t xml:space="preserve">著陸座標</t>
  </si>
  <si>
    <t xml:space="preserve">0.71° N, 23.63° E</t>
  </si>
  <si>
    <t xml:space="preserve">月面停留</t>
  </si>
  <si>
    <t xml:space="preserve">21 h 36 m</t>
  </si>
  <si>
    <t xml:space="preserve">時間</t>
  </si>
  <si>
    <r>
      <rPr>
        <sz val="10"/>
        <rFont val="Aptos"/>
        <family val="0"/>
        <charset val="1"/>
      </rPr>
      <t xml:space="preserve">EVA </t>
    </r>
    <r>
      <rPr>
        <sz val="10"/>
        <rFont val="Noto Sans TC"/>
        <family val="2"/>
        <charset val="136"/>
      </rPr>
      <t xml:space="preserve">時間</t>
    </r>
  </si>
  <si>
    <t xml:space="preserve">2 h 31 m 40 s</t>
  </si>
  <si>
    <t xml:space="preserve">https://www.lpi.usra.edu/lunar/missions/apollo/apollo_11/</t>
  </si>
  <si>
    <t xml:space="preserve">採樣質量</t>
  </si>
  <si>
    <t xml:space="preserve">0</t>
  </si>
  <si>
    <t xml:space="preserve">kg</t>
  </si>
  <si>
    <t xml:space="preserve">返回</t>
  </si>
  <si>
    <t xml:space="preserve">濺落地點</t>
  </si>
  <si>
    <t xml:space="preserve">North/Pacific Ocean; 13°19′N 169°09′W</t>
  </si>
  <si>
    <t xml:space="preserve">South Pacific near Samoa; 21°38′S 165°22′W</t>
  </si>
  <si>
    <t xml:space="preserve">座標</t>
  </si>
  <si>
    <t xml:space="preserve">回收船</t>
  </si>
  <si>
    <t xml:space="preserve">USS Hornet</t>
  </si>
  <si>
    <t xml:space="preserve">USS Iwo Jima</t>
  </si>
  <si>
    <t xml:space="preserve">船名</t>
  </si>
  <si>
    <t xml:space="preserve">極值</t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</si>
  <si>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400,000 km</t>
    </r>
    <r>
      <rPr>
        <sz val="10"/>
        <rFont val="Noto Sans TC"/>
        <family val="2"/>
        <charset val="136"/>
      </rPr>
      <t xml:space="preserve">（</t>
    </r>
    <r>
      <rPr>
        <sz val="10"/>
        <rFont val="Aptos"/>
        <family val="0"/>
        <charset val="1"/>
      </rPr>
      <t xml:space="preserve">Apollo 11 </t>
    </r>
    <r>
      <rPr>
        <sz val="10"/>
        <rFont val="Noto Sans TC"/>
        <family val="2"/>
        <charset val="136"/>
      </rPr>
      <t xml:space="preserve">未創紀錄）</t>
    </r>
  </si>
  <si>
    <t xml:space="preserve">km / mi</t>
  </si>
  <si>
    <r>
      <rPr>
        <sz val="10"/>
        <rFont val="Noto Sans TC"/>
        <family val="2"/>
        <charset val="136"/>
      </rPr>
      <t xml:space="preserve">事故</t>
    </r>
    <r>
      <rPr>
        <sz val="10"/>
        <rFont val="Aptos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異常</t>
    </r>
  </si>
  <si>
    <t xml:space="preserve">重大異常</t>
  </si>
  <si>
    <r>
      <rPr>
        <sz val="10"/>
        <rFont val="Aptos"/>
        <family val="0"/>
        <charset val="1"/>
      </rPr>
      <t xml:space="preserve">1201/1202 </t>
    </r>
    <r>
      <rPr>
        <sz val="10"/>
        <rFont val="Noto Sans TC"/>
        <family val="2"/>
        <charset val="136"/>
      </rPr>
      <t xml:space="preserve">電腦警報；著陸燃料餘量緊張</t>
    </r>
  </si>
  <si>
    <r>
      <rPr>
        <sz val="10"/>
        <rFont val="Noto Sans TC"/>
        <family val="2"/>
        <charset val="136"/>
      </rPr>
      <t xml:space="preserve">氧氣槽爆炸；燃料電池失效；</t>
    </r>
    <r>
      <rPr>
        <sz val="10"/>
        <rFont val="Aptos"/>
        <family val="0"/>
        <charset val="1"/>
      </rPr>
      <t xml:space="preserve">LM lifeboat</t>
    </r>
  </si>
  <si>
    <t xml:space="preserve">摘要</t>
  </si>
  <si>
    <t xml:space="preserve">https://www.lpi.usra.edu/lunar/missions/apollo/apollo_11/ ; https://www.nasa.gov/missions/apollo/apollo-13-mission-details/</t>
  </si>
  <si>
    <t xml:space="preserve">組員、艙體、呼號與角色</t>
  </si>
  <si>
    <t xml:space="preserve">姓名</t>
  </si>
  <si>
    <t xml:space="preserve">職位</t>
  </si>
  <si>
    <r>
      <rPr>
        <b val="true"/>
        <sz val="10"/>
        <color rgb="FFFFFFFF"/>
        <rFont val="Noto Sans TC"/>
        <family val="2"/>
        <charset val="136"/>
      </rPr>
      <t xml:space="preserve">任務內角色</t>
    </r>
    <r>
      <rPr>
        <b val="true"/>
        <sz val="10"/>
        <color rgb="FFFFFFFF"/>
        <rFont val="Aptos"/>
        <family val="0"/>
        <charset val="1"/>
      </rPr>
      <t xml:space="preserve">/</t>
    </r>
    <r>
      <rPr>
        <b val="true"/>
        <sz val="10"/>
        <color rgb="FFFFFFFF"/>
        <rFont val="Noto Sans TC"/>
        <family val="2"/>
        <charset val="136"/>
      </rPr>
      <t xml:space="preserve">位置</t>
    </r>
  </si>
  <si>
    <r>
      <rPr>
        <b val="true"/>
        <sz val="10"/>
        <color rgb="FFFFFFFF"/>
        <rFont val="Noto Sans TC"/>
        <family val="2"/>
        <charset val="136"/>
      </rPr>
      <t xml:space="preserve">太空船</t>
    </r>
    <r>
      <rPr>
        <b val="true"/>
        <sz val="10"/>
        <color rgb="FFFFFFFF"/>
        <rFont val="Aptos"/>
        <family val="0"/>
        <charset val="1"/>
      </rPr>
      <t xml:space="preserve">/</t>
    </r>
    <r>
      <rPr>
        <b val="true"/>
        <sz val="10"/>
        <color rgb="FFFFFFFF"/>
        <rFont val="Noto Sans TC"/>
        <family val="2"/>
        <charset val="136"/>
      </rPr>
      <t xml:space="preserve">呼號</t>
    </r>
  </si>
  <si>
    <t xml:space="preserve">Neil A. Armstrong</t>
  </si>
  <si>
    <t xml:space="preserve">Commander</t>
  </si>
  <si>
    <r>
      <rPr>
        <sz val="10"/>
        <rFont val="Noto Sans TC"/>
        <family val="2"/>
        <charset val="136"/>
      </rPr>
      <t xml:space="preserve">月面 </t>
    </r>
    <r>
      <rPr>
        <sz val="10"/>
        <rFont val="Aptos"/>
        <family val="0"/>
        <charset val="1"/>
      </rPr>
      <t xml:space="preserve">EVA</t>
    </r>
    <r>
      <rPr>
        <sz val="10"/>
        <rFont val="Noto Sans TC"/>
        <family val="2"/>
        <charset val="136"/>
      </rPr>
      <t xml:space="preserve">；首位踏上月球者</t>
    </r>
  </si>
  <si>
    <t xml:space="preserve">LM Eagle / Tranquility Base</t>
  </si>
  <si>
    <r>
      <rPr>
        <sz val="10"/>
        <rFont val="Noto Sans TC"/>
        <family val="2"/>
        <charset val="136"/>
      </rPr>
      <t xml:space="preserve">降落時手動避開 </t>
    </r>
    <r>
      <rPr>
        <sz val="10"/>
        <rFont val="Aptos"/>
        <family val="0"/>
        <charset val="1"/>
      </rPr>
      <t xml:space="preserve">West Crater </t>
    </r>
    <r>
      <rPr>
        <sz val="10"/>
        <rFont val="Noto Sans TC"/>
        <family val="2"/>
        <charset val="136"/>
      </rPr>
      <t xml:space="preserve">周邊危險地形</t>
    </r>
  </si>
  <si>
    <t xml:space="preserve">Michael Collins</t>
  </si>
  <si>
    <t xml:space="preserve">Command Module Pilot</t>
  </si>
  <si>
    <r>
      <rPr>
        <sz val="10"/>
        <rFont val="Noto Sans TC"/>
        <family val="2"/>
        <charset val="136"/>
      </rPr>
      <t xml:space="preserve">留在月球軌道 </t>
    </r>
    <r>
      <rPr>
        <sz val="10"/>
        <rFont val="Aptos"/>
        <family val="0"/>
        <charset val="1"/>
      </rPr>
      <t xml:space="preserve">Columbia</t>
    </r>
  </si>
  <si>
    <t xml:space="preserve">CSM Columbia</t>
  </si>
  <si>
    <r>
      <rPr>
        <sz val="10"/>
        <rFont val="Noto Sans TC"/>
        <family val="2"/>
        <charset val="136"/>
      </rPr>
      <t xml:space="preserve">負責 </t>
    </r>
    <r>
      <rPr>
        <sz val="10"/>
        <rFont val="Aptos"/>
        <family val="0"/>
        <charset val="1"/>
      </rPr>
      <t xml:space="preserve">CSM </t>
    </r>
    <r>
      <rPr>
        <sz val="10"/>
        <rFont val="Noto Sans TC"/>
        <family val="2"/>
        <charset val="136"/>
      </rPr>
      <t xml:space="preserve">操作與軌道會合支援</t>
    </r>
  </si>
  <si>
    <t xml:space="preserve">Edwin E. “Buzz” Aldrin Jr.</t>
  </si>
  <si>
    <t xml:space="preserve">Lunar Module Pilot</t>
  </si>
  <si>
    <r>
      <rPr>
        <sz val="10"/>
        <rFont val="Noto Sans TC"/>
        <family val="2"/>
        <charset val="136"/>
      </rPr>
      <t xml:space="preserve">月面 </t>
    </r>
    <r>
      <rPr>
        <sz val="10"/>
        <rFont val="Aptos"/>
        <family val="0"/>
        <charset val="1"/>
      </rPr>
      <t xml:space="preserve">EVA</t>
    </r>
    <r>
      <rPr>
        <sz val="10"/>
        <rFont val="Noto Sans TC"/>
        <family val="2"/>
        <charset val="136"/>
      </rPr>
      <t xml:space="preserve">；部署 </t>
    </r>
    <r>
      <rPr>
        <sz val="10"/>
        <rFont val="Aptos"/>
        <family val="0"/>
        <charset val="1"/>
      </rPr>
      <t xml:space="preserve">EASEP</t>
    </r>
  </si>
  <si>
    <t xml:space="preserve">LM Eagle</t>
  </si>
  <si>
    <t xml:space="preserve">第二位踏上月球者</t>
  </si>
  <si>
    <t xml:space="preserve">James A. Lovell Jr.</t>
  </si>
  <si>
    <r>
      <rPr>
        <sz val="10"/>
        <rFont val="Noto Sans TC"/>
        <family val="2"/>
        <charset val="136"/>
      </rPr>
      <t xml:space="preserve">任務指揮；</t>
    </r>
    <r>
      <rPr>
        <sz val="10"/>
        <rFont val="Aptos"/>
        <family val="0"/>
        <charset val="1"/>
      </rPr>
      <t xml:space="preserve">LM Aquarius </t>
    </r>
    <r>
      <rPr>
        <sz val="10"/>
        <rFont val="Noto Sans TC"/>
        <family val="2"/>
        <charset val="136"/>
      </rPr>
      <t xml:space="preserve">返航操作</t>
    </r>
  </si>
  <si>
    <t xml:space="preserve">CSM Odyssey / LM Aquarius</t>
  </si>
  <si>
    <r>
      <rPr>
        <sz val="10"/>
        <rFont val="Noto Sans TC"/>
        <family val="2"/>
        <charset val="136"/>
      </rPr>
      <t xml:space="preserve">曾為 </t>
    </r>
    <r>
      <rPr>
        <sz val="10"/>
        <rFont val="Aptos"/>
        <family val="0"/>
        <charset val="1"/>
      </rPr>
      <t xml:space="preserve">Apollo 8 </t>
    </r>
    <r>
      <rPr>
        <sz val="10"/>
        <rFont val="Noto Sans TC"/>
        <family val="2"/>
        <charset val="136"/>
      </rPr>
      <t xml:space="preserve">組員</t>
    </r>
  </si>
  <si>
    <t xml:space="preserve">John L. “Jack” Swigert Jr.</t>
  </si>
  <si>
    <r>
      <rPr>
        <sz val="10"/>
        <rFont val="Noto Sans TC"/>
        <family val="2"/>
        <charset val="136"/>
      </rPr>
      <t xml:space="preserve">代替 </t>
    </r>
    <r>
      <rPr>
        <sz val="10"/>
        <rFont val="Aptos"/>
        <family val="0"/>
        <charset val="1"/>
      </rPr>
      <t xml:space="preserve">Ken Mattingly</t>
    </r>
    <r>
      <rPr>
        <sz val="10"/>
        <rFont val="Noto Sans TC"/>
        <family val="2"/>
        <charset val="136"/>
      </rPr>
      <t xml:space="preserve">；事故後協助關閉 </t>
    </r>
    <r>
      <rPr>
        <sz val="10"/>
        <rFont val="Aptos"/>
        <family val="0"/>
        <charset val="1"/>
      </rPr>
      <t xml:space="preserve">CM</t>
    </r>
  </si>
  <si>
    <t xml:space="preserve">CSM Odyssey</t>
  </si>
  <si>
    <r>
      <rPr>
        <sz val="10"/>
        <rFont val="Noto Sans TC"/>
        <family val="2"/>
        <charset val="136"/>
      </rPr>
      <t xml:space="preserve">發射前數日因 </t>
    </r>
    <r>
      <rPr>
        <sz val="10"/>
        <rFont val="Aptos"/>
        <family val="0"/>
        <charset val="1"/>
      </rPr>
      <t xml:space="preserve">Mattingly </t>
    </r>
    <r>
      <rPr>
        <sz val="10"/>
        <rFont val="Noto Sans TC"/>
        <family val="2"/>
        <charset val="136"/>
      </rPr>
      <t xml:space="preserve">麻疹暴露替補</t>
    </r>
  </si>
  <si>
    <t xml:space="preserve">https://www.lpi.usra.edu/lunar/missions/apollo/apollo_13/</t>
  </si>
  <si>
    <t xml:space="preserve">Fred W. Haise Jr.</t>
  </si>
  <si>
    <r>
      <rPr>
        <sz val="10"/>
        <rFont val="Noto Sans TC"/>
        <family val="2"/>
        <charset val="136"/>
      </rPr>
      <t xml:space="preserve">原計畫登陸 </t>
    </r>
    <r>
      <rPr>
        <sz val="10"/>
        <rFont val="Aptos"/>
        <family val="0"/>
        <charset val="1"/>
      </rPr>
      <t xml:space="preserve">Fra Mauro</t>
    </r>
    <r>
      <rPr>
        <sz val="10"/>
        <rFont val="Noto Sans TC"/>
        <family val="2"/>
        <charset val="136"/>
      </rPr>
      <t xml:space="preserve">；返航期間管理 </t>
    </r>
    <r>
      <rPr>
        <sz val="10"/>
        <rFont val="Aptos"/>
        <family val="0"/>
        <charset val="1"/>
      </rPr>
      <t xml:space="preserve">LM</t>
    </r>
  </si>
  <si>
    <t xml:space="preserve">LM Aquarius</t>
  </si>
  <si>
    <r>
      <rPr>
        <sz val="10"/>
        <rFont val="Aptos"/>
        <family val="0"/>
        <charset val="1"/>
      </rPr>
      <t xml:space="preserve">LM </t>
    </r>
    <r>
      <rPr>
        <sz val="10"/>
        <rFont val="Noto Sans TC"/>
        <family val="2"/>
        <charset val="136"/>
      </rPr>
      <t xml:space="preserve">由 </t>
    </r>
    <r>
      <rPr>
        <sz val="10"/>
        <rFont val="Aptos"/>
        <family val="0"/>
        <charset val="1"/>
      </rPr>
      <t xml:space="preserve">2 </t>
    </r>
    <r>
      <rPr>
        <sz val="10"/>
        <rFont val="Noto Sans TC"/>
        <family val="2"/>
        <charset val="136"/>
      </rPr>
      <t xml:space="preserve">人 </t>
    </r>
    <r>
      <rPr>
        <sz val="10"/>
        <rFont val="Aptos"/>
        <family val="0"/>
        <charset val="1"/>
      </rPr>
      <t xml:space="preserve">2 </t>
    </r>
    <r>
      <rPr>
        <sz val="10"/>
        <rFont val="Noto Sans TC"/>
        <family val="2"/>
        <charset val="136"/>
      </rPr>
      <t xml:space="preserve">日設計，延伸支援 </t>
    </r>
    <r>
      <rPr>
        <sz val="10"/>
        <rFont val="Aptos"/>
        <family val="0"/>
        <charset val="1"/>
      </rPr>
      <t xml:space="preserve">3 </t>
    </r>
    <r>
      <rPr>
        <sz val="10"/>
        <rFont val="Noto Sans TC"/>
        <family val="2"/>
        <charset val="136"/>
      </rPr>
      <t xml:space="preserve">人近 </t>
    </r>
    <r>
      <rPr>
        <sz val="10"/>
        <rFont val="Aptos"/>
        <family val="0"/>
        <charset val="1"/>
      </rPr>
      <t xml:space="preserve">4 </t>
    </r>
    <r>
      <rPr>
        <sz val="10"/>
        <rFont val="Noto Sans TC"/>
        <family val="2"/>
        <charset val="136"/>
      </rPr>
      <t xml:space="preserve">日</t>
    </r>
  </si>
  <si>
    <t xml:space="preserve">Thomas K. Mattingly II</t>
  </si>
  <si>
    <r>
      <rPr>
        <sz val="10"/>
        <rFont val="Noto Sans TC"/>
        <family val="2"/>
        <charset val="136"/>
      </rPr>
      <t xml:space="preserve">原定 </t>
    </r>
    <r>
      <rPr>
        <sz val="10"/>
        <rFont val="Aptos"/>
        <family val="0"/>
        <charset val="1"/>
      </rPr>
      <t xml:space="preserve">CMP</t>
    </r>
  </si>
  <si>
    <t xml:space="preserve">發射前更換</t>
  </si>
  <si>
    <t xml:space="preserve">—</t>
  </si>
  <si>
    <r>
      <rPr>
        <sz val="10"/>
        <rFont val="Noto Sans TC"/>
        <family val="2"/>
        <charset val="136"/>
      </rPr>
      <t xml:space="preserve">因德國麻疹暴露且無免疫力，未飛 </t>
    </r>
    <r>
      <rPr>
        <sz val="10"/>
        <rFont val="Aptos"/>
        <family val="0"/>
        <charset val="1"/>
      </rPr>
      <t xml:space="preserve">Apollo 13</t>
    </r>
  </si>
  <si>
    <t xml:space="preserve">CSM-107</t>
  </si>
  <si>
    <t xml:space="preserve">Command/Service Module</t>
  </si>
  <si>
    <t xml:space="preserve">主太空船</t>
  </si>
  <si>
    <t xml:space="preserve">Columbia</t>
  </si>
  <si>
    <r>
      <rPr>
        <sz val="10"/>
        <rFont val="Noto Sans TC"/>
        <family val="2"/>
        <charset val="136"/>
      </rPr>
      <t xml:space="preserve">返航再入使用 </t>
    </r>
    <r>
      <rPr>
        <sz val="10"/>
        <rFont val="Aptos"/>
        <family val="0"/>
        <charset val="1"/>
      </rPr>
      <t xml:space="preserve">Command Module</t>
    </r>
  </si>
  <si>
    <t xml:space="preserve">LM-5</t>
  </si>
  <si>
    <t xml:space="preserve">Lunar Module</t>
  </si>
  <si>
    <r>
      <rPr>
        <sz val="10"/>
        <rFont val="Noto Sans TC"/>
        <family val="2"/>
        <charset val="136"/>
      </rPr>
      <t xml:space="preserve">月面著陸</t>
    </r>
    <r>
      <rPr>
        <sz val="10"/>
        <rFont val="Aptos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上升</t>
    </r>
  </si>
  <si>
    <t xml:space="preserve">Eagle</t>
  </si>
  <si>
    <t xml:space="preserve">下降級留在月面，上升級會合後拋棄</t>
  </si>
  <si>
    <t xml:space="preserve">CSM-109</t>
  </si>
  <si>
    <r>
      <rPr>
        <sz val="10"/>
        <rFont val="Noto Sans TC"/>
        <family val="2"/>
        <charset val="136"/>
      </rPr>
      <t xml:space="preserve">事故後關閉節電；再入使用 </t>
    </r>
    <r>
      <rPr>
        <sz val="10"/>
        <rFont val="Aptos"/>
        <family val="0"/>
        <charset val="1"/>
      </rPr>
      <t xml:space="preserve">CM</t>
    </r>
  </si>
  <si>
    <t xml:space="preserve">Odyssey</t>
  </si>
  <si>
    <r>
      <rPr>
        <sz val="10"/>
        <rFont val="Aptos"/>
        <family val="0"/>
        <charset val="1"/>
      </rPr>
      <t xml:space="preserve">SM </t>
    </r>
    <r>
      <rPr>
        <sz val="10"/>
        <rFont val="Noto Sans TC"/>
        <family val="2"/>
        <charset val="136"/>
      </rPr>
      <t xml:space="preserve">氧氣槽事故，返航前分離後可見損傷</t>
    </r>
  </si>
  <si>
    <t xml:space="preserve">LM-7</t>
  </si>
  <si>
    <r>
      <rPr>
        <sz val="10"/>
        <rFont val="Noto Sans TC"/>
        <family val="2"/>
        <charset val="136"/>
      </rPr>
      <t xml:space="preserve">救生艇</t>
    </r>
    <r>
      <rPr>
        <sz val="10"/>
        <rFont val="Aptos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返航推進與生命維持</t>
    </r>
  </si>
  <si>
    <t xml:space="preserve">Aquarius</t>
  </si>
  <si>
    <t xml:space="preserve">提供氧氣、電力、推進與生命維持</t>
  </si>
  <si>
    <t xml:space="preserve">月面活動、實驗與科學資料</t>
  </si>
  <si>
    <r>
      <rPr>
        <b val="true"/>
        <sz val="10"/>
        <color rgb="FFFFFFFF"/>
        <rFont val="Noto Sans TC"/>
        <family val="2"/>
        <charset val="136"/>
      </rPr>
      <t xml:space="preserve">數據</t>
    </r>
    <r>
      <rPr>
        <b val="true"/>
        <sz val="10"/>
        <color rgb="FFFFFFFF"/>
        <rFont val="Aptos"/>
        <family val="0"/>
        <charset val="1"/>
      </rPr>
      <t xml:space="preserve">/</t>
    </r>
    <r>
      <rPr>
        <b val="true"/>
        <sz val="10"/>
        <color rgb="FFFFFFFF"/>
        <rFont val="Noto Sans TC"/>
        <family val="2"/>
        <charset val="136"/>
      </rPr>
      <t xml:space="preserve">狀態</t>
    </r>
  </si>
  <si>
    <t xml:space="preserve">細節</t>
  </si>
  <si>
    <t xml:space="preserve">成功</t>
  </si>
  <si>
    <r>
      <rPr>
        <sz val="10"/>
        <rFont val="Aptos"/>
        <family val="0"/>
        <charset val="1"/>
      </rPr>
      <t xml:space="preserve">Sea of Tranquility</t>
    </r>
    <r>
      <rPr>
        <sz val="10"/>
        <rFont val="Noto Sans TC"/>
        <family val="2"/>
        <charset val="136"/>
      </rPr>
      <t xml:space="preserve">；著陸點比預測點約下游 </t>
    </r>
    <r>
      <rPr>
        <sz val="10"/>
        <rFont val="Aptos"/>
        <family val="0"/>
        <charset val="1"/>
      </rPr>
      <t xml:space="preserve">4 mi / 7 km</t>
    </r>
  </si>
  <si>
    <r>
      <rPr>
        <sz val="10"/>
        <rFont val="Aptos"/>
        <family val="0"/>
        <charset val="1"/>
      </rPr>
      <t xml:space="preserve">Eagle </t>
    </r>
    <r>
      <rPr>
        <sz val="10"/>
        <rFont val="Noto Sans TC"/>
        <family val="2"/>
        <charset val="136"/>
      </rPr>
      <t xml:space="preserve">著陸後休整、</t>
    </r>
    <r>
      <rPr>
        <sz val="10"/>
        <rFont val="Aptos"/>
        <family val="0"/>
        <charset val="1"/>
      </rPr>
      <t xml:space="preserve">EVA</t>
    </r>
    <r>
      <rPr>
        <sz val="10"/>
        <rFont val="Noto Sans TC"/>
        <family val="2"/>
        <charset val="136"/>
      </rPr>
      <t xml:space="preserve">、起飛會合</t>
    </r>
  </si>
  <si>
    <t xml:space="preserve">EVA</t>
  </si>
  <si>
    <r>
      <rPr>
        <sz val="10"/>
        <rFont val="Aptos"/>
        <family val="0"/>
        <charset val="1"/>
      </rPr>
      <t xml:space="preserve">Armstrong </t>
    </r>
    <r>
      <rPr>
        <sz val="10"/>
        <rFont val="Noto Sans TC"/>
        <family val="2"/>
        <charset val="136"/>
      </rPr>
      <t xml:space="preserve">與 </t>
    </r>
    <r>
      <rPr>
        <sz val="10"/>
        <rFont val="Aptos"/>
        <family val="0"/>
        <charset val="1"/>
      </rPr>
      <t xml:space="preserve">Aldrin </t>
    </r>
    <r>
      <rPr>
        <sz val="10"/>
        <rFont val="Noto Sans TC"/>
        <family val="2"/>
        <charset val="136"/>
      </rPr>
      <t xml:space="preserve">活動範圍約 </t>
    </r>
    <r>
      <rPr>
        <sz val="10"/>
        <rFont val="Aptos"/>
        <family val="0"/>
        <charset val="1"/>
      </rPr>
      <t xml:space="preserve">60–300 ft</t>
    </r>
    <r>
      <rPr>
        <sz val="10"/>
        <rFont val="Noto Sans TC"/>
        <family val="2"/>
        <charset val="136"/>
      </rPr>
      <t xml:space="preserve">（來源描述口徑不同）</t>
    </r>
  </si>
  <si>
    <t xml:space="preserve">樣本採集</t>
  </si>
  <si>
    <t xml:space="preserve">21.6 kg / 47.5 lb</t>
  </si>
  <si>
    <t xml:space="preserve">月岩、月壤；主要岩石類型為玄武岩與角礫岩</t>
  </si>
  <si>
    <t xml:space="preserve">科學設備</t>
  </si>
  <si>
    <t xml:space="preserve">EASEP</t>
  </si>
  <si>
    <t xml:space="preserve">被動地震儀、雷射反射器、太陽風採樣等</t>
  </si>
  <si>
    <t xml:space="preserve">電腦警報</t>
  </si>
  <si>
    <t xml:space="preserve">1201 / 1202</t>
  </si>
  <si>
    <r>
      <rPr>
        <sz val="10"/>
        <rFont val="Noto Sans TC"/>
        <family val="2"/>
        <charset val="136"/>
      </rPr>
      <t xml:space="preserve">下降時多次警報；</t>
    </r>
    <r>
      <rPr>
        <sz val="10"/>
        <rFont val="Aptos"/>
        <family val="0"/>
        <charset val="1"/>
      </rPr>
      <t xml:space="preserve">Mission Control </t>
    </r>
    <r>
      <rPr>
        <sz val="10"/>
        <rFont val="Noto Sans TC"/>
        <family val="2"/>
        <charset val="136"/>
      </rPr>
      <t xml:space="preserve">判定可繼續</t>
    </r>
  </si>
  <si>
    <t xml:space="preserve">燃料餘量</t>
  </si>
  <si>
    <r>
      <rPr>
        <sz val="10"/>
        <rFont val="Noto Sans TC"/>
        <family val="2"/>
        <charset val="136"/>
      </rPr>
      <t xml:space="preserve">約 </t>
    </r>
    <r>
      <rPr>
        <sz val="10"/>
        <rFont val="Aptos"/>
        <family val="0"/>
        <charset val="1"/>
      </rPr>
      <t xml:space="preserve">45 </t>
    </r>
    <r>
      <rPr>
        <sz val="10"/>
        <rFont val="Noto Sans TC"/>
        <family val="2"/>
        <charset val="136"/>
      </rPr>
      <t xml:space="preserve">秒（事後分析）</t>
    </r>
  </si>
  <si>
    <r>
      <rPr>
        <sz val="10"/>
        <rFont val="Noto Sans TC"/>
        <family val="2"/>
        <charset val="136"/>
      </rPr>
      <t xml:space="preserve">當時 </t>
    </r>
    <r>
      <rPr>
        <sz val="10"/>
        <rFont val="Aptos"/>
        <family val="0"/>
        <charset val="1"/>
      </rPr>
      <t xml:space="preserve">Mission Control </t>
    </r>
    <r>
      <rPr>
        <sz val="10"/>
        <rFont val="Noto Sans TC"/>
        <family val="2"/>
        <charset val="136"/>
      </rPr>
      <t xml:space="preserve">估計約 </t>
    </r>
    <r>
      <rPr>
        <sz val="10"/>
        <rFont val="Aptos"/>
        <family val="0"/>
        <charset val="1"/>
      </rPr>
      <t xml:space="preserve">17 </t>
    </r>
    <r>
      <rPr>
        <sz val="10"/>
        <rFont val="Noto Sans TC"/>
        <family val="2"/>
        <charset val="136"/>
      </rPr>
      <t xml:space="preserve">秒</t>
    </r>
  </si>
  <si>
    <t xml:space="preserve">原定月面目標</t>
  </si>
  <si>
    <t xml:space="preserve">Fra Mauro</t>
  </si>
  <si>
    <r>
      <rPr>
        <sz val="10"/>
        <rFont val="Noto Sans TC"/>
        <family val="2"/>
        <charset val="136"/>
      </rPr>
      <t xml:space="preserve">任務目標含採樣與部署 </t>
    </r>
    <r>
      <rPr>
        <sz val="10"/>
        <rFont val="Aptos"/>
        <family val="0"/>
        <charset val="1"/>
      </rPr>
      <t xml:space="preserve">ALSEP</t>
    </r>
    <r>
      <rPr>
        <sz val="10"/>
        <rFont val="Noto Sans TC"/>
        <family val="2"/>
        <charset val="136"/>
      </rPr>
      <t xml:space="preserve">；事故後取消</t>
    </r>
  </si>
  <si>
    <r>
      <rPr>
        <sz val="10"/>
        <rFont val="Noto Sans TC"/>
        <family val="2"/>
        <charset val="136"/>
      </rPr>
      <t xml:space="preserve">氧氣槽爆炸後任務轉為救援</t>
    </r>
    <r>
      <rPr>
        <sz val="10"/>
        <rFont val="Aptos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返航</t>
    </r>
  </si>
  <si>
    <r>
      <rPr>
        <sz val="10"/>
        <rFont val="Aptos"/>
        <family val="0"/>
        <charset val="1"/>
      </rPr>
      <t xml:space="preserve">S-IVB </t>
    </r>
    <r>
      <rPr>
        <sz val="10"/>
        <rFont val="Noto Sans TC"/>
        <family val="2"/>
        <charset val="136"/>
      </rPr>
      <t xml:space="preserve">科學事件</t>
    </r>
  </si>
  <si>
    <t xml:space="preserve">撞擊月球成功</t>
  </si>
  <si>
    <r>
      <rPr>
        <sz val="10"/>
        <rFont val="Noto Sans TC"/>
        <family val="2"/>
        <charset val="136"/>
      </rPr>
      <t xml:space="preserve">用於 </t>
    </r>
    <r>
      <rPr>
        <sz val="10"/>
        <rFont val="Aptos"/>
        <family val="0"/>
        <charset val="1"/>
      </rPr>
      <t xml:space="preserve">Apollo 12 </t>
    </r>
    <r>
      <rPr>
        <sz val="10"/>
        <rFont val="Noto Sans TC"/>
        <family val="2"/>
        <charset val="136"/>
      </rPr>
      <t xml:space="preserve">放置的月震儀接收撞擊訊號</t>
    </r>
  </si>
  <si>
    <t xml:space="preserve">生命維持應變</t>
  </si>
  <si>
    <t xml:space="preserve">LM lifeboat</t>
  </si>
  <si>
    <r>
      <rPr>
        <sz val="10"/>
        <rFont val="Aptos"/>
        <family val="0"/>
        <charset val="1"/>
      </rPr>
      <t xml:space="preserve">Aquarius </t>
    </r>
    <r>
      <rPr>
        <sz val="10"/>
        <rFont val="Noto Sans TC"/>
        <family val="2"/>
        <charset val="136"/>
      </rPr>
      <t xml:space="preserve">原設計 </t>
    </r>
    <r>
      <rPr>
        <sz val="10"/>
        <rFont val="Aptos"/>
        <family val="0"/>
        <charset val="1"/>
      </rPr>
      <t xml:space="preserve">2 </t>
    </r>
    <r>
      <rPr>
        <sz val="10"/>
        <rFont val="Noto Sans TC"/>
        <family val="2"/>
        <charset val="136"/>
      </rPr>
      <t xml:space="preserve">人 </t>
    </r>
    <r>
      <rPr>
        <sz val="10"/>
        <rFont val="Aptos"/>
        <family val="0"/>
        <charset val="1"/>
      </rPr>
      <t xml:space="preserve">45 </t>
    </r>
    <r>
      <rPr>
        <sz val="10"/>
        <rFont val="Noto Sans TC"/>
        <family val="2"/>
        <charset val="136"/>
      </rPr>
      <t xml:space="preserve">小時，延伸支援 </t>
    </r>
    <r>
      <rPr>
        <sz val="10"/>
        <rFont val="Aptos"/>
        <family val="0"/>
        <charset val="1"/>
      </rPr>
      <t xml:space="preserve">3 </t>
    </r>
    <r>
      <rPr>
        <sz val="10"/>
        <rFont val="Noto Sans TC"/>
        <family val="2"/>
        <charset val="136"/>
      </rPr>
      <t xml:space="preserve">人返航</t>
    </r>
  </si>
  <si>
    <r>
      <rPr>
        <sz val="10"/>
        <rFont val="Noto Sans TC"/>
        <family val="2"/>
        <charset val="136"/>
      </rPr>
      <t xml:space="preserve">水</t>
    </r>
    <r>
      <rPr>
        <sz val="10"/>
        <rFont val="Aptos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電力限制</t>
    </r>
  </si>
  <si>
    <r>
      <rPr>
        <sz val="10"/>
        <rFont val="Noto Sans TC"/>
        <family val="2"/>
        <charset val="136"/>
      </rPr>
      <t xml:space="preserve">每人每日約 </t>
    </r>
    <r>
      <rPr>
        <sz val="10"/>
        <rFont val="Aptos"/>
        <family val="0"/>
        <charset val="1"/>
      </rPr>
      <t xml:space="preserve">6 oz </t>
    </r>
    <r>
      <rPr>
        <sz val="10"/>
        <rFont val="Noto Sans TC"/>
        <family val="2"/>
        <charset val="136"/>
      </rPr>
      <t xml:space="preserve">水；電力大幅節流</t>
    </r>
  </si>
  <si>
    <r>
      <rPr>
        <sz val="10"/>
        <rFont val="Noto Sans TC"/>
        <family val="2"/>
        <charset val="136"/>
      </rPr>
      <t xml:space="preserve">艙內溫度降至低於 </t>
    </r>
    <r>
      <rPr>
        <sz val="10"/>
        <rFont val="Aptos"/>
        <family val="0"/>
        <charset val="1"/>
      </rPr>
      <t xml:space="preserve">40°F / 4°C</t>
    </r>
  </si>
  <si>
    <r>
      <rPr>
        <sz val="10"/>
        <rFont val="Aptos"/>
        <family val="0"/>
        <charset val="1"/>
      </rPr>
      <t xml:space="preserve">CO2 </t>
    </r>
    <r>
      <rPr>
        <sz val="10"/>
        <rFont val="Noto Sans TC"/>
        <family val="2"/>
        <charset val="136"/>
      </rPr>
      <t xml:space="preserve">應變</t>
    </r>
  </si>
  <si>
    <t xml:space="preserve">方形濾罐接圓形系統</t>
  </si>
  <si>
    <r>
      <rPr>
        <sz val="10"/>
        <rFont val="Noto Sans TC"/>
        <family val="2"/>
        <charset val="136"/>
      </rPr>
      <t xml:space="preserve">地面設計臨時轉接裝置使用 </t>
    </r>
    <r>
      <rPr>
        <sz val="10"/>
        <rFont val="Aptos"/>
        <family val="0"/>
        <charset val="1"/>
      </rPr>
      <t xml:space="preserve">CSM LiOH </t>
    </r>
    <r>
      <rPr>
        <sz val="10"/>
        <rFont val="Noto Sans TC"/>
        <family val="2"/>
        <charset val="136"/>
      </rPr>
      <t xml:space="preserve">濾罐</t>
    </r>
  </si>
  <si>
    <t xml:space="preserve">關鍵異常、風險與處置</t>
  </si>
  <si>
    <t xml:space="preserve">類別</t>
  </si>
  <si>
    <r>
      <rPr>
        <b val="true"/>
        <sz val="10"/>
        <color rgb="FFFFFFFF"/>
        <rFont val="Noto Sans TC"/>
        <family val="2"/>
        <charset val="136"/>
      </rPr>
      <t xml:space="preserve">時間</t>
    </r>
    <r>
      <rPr>
        <b val="true"/>
        <sz val="10"/>
        <color rgb="FFFFFFFF"/>
        <rFont val="Aptos"/>
        <family val="0"/>
        <charset val="1"/>
      </rPr>
      <t xml:space="preserve">/MET</t>
    </r>
  </si>
  <si>
    <t xml:space="preserve">影響</t>
  </si>
  <si>
    <r>
      <rPr>
        <b val="true"/>
        <sz val="10"/>
        <color rgb="FFFFFFFF"/>
        <rFont val="Noto Sans TC"/>
        <family val="2"/>
        <charset val="136"/>
      </rPr>
      <t xml:space="preserve">處置</t>
    </r>
    <r>
      <rPr>
        <b val="true"/>
        <sz val="10"/>
        <color rgb="FFFFFFFF"/>
        <rFont val="Aptos"/>
        <family val="0"/>
        <charset val="1"/>
      </rPr>
      <t xml:space="preserve">/</t>
    </r>
    <r>
      <rPr>
        <b val="true"/>
        <sz val="10"/>
        <color rgb="FFFFFFFF"/>
        <rFont val="Noto Sans TC"/>
        <family val="2"/>
        <charset val="136"/>
      </rPr>
      <t xml:space="preserve">結果</t>
    </r>
  </si>
  <si>
    <r>
      <rPr>
        <sz val="10"/>
        <rFont val="Noto Sans TC"/>
        <family val="2"/>
        <charset val="136"/>
      </rPr>
      <t xml:space="preserve">導航</t>
    </r>
    <r>
      <rPr>
        <sz val="10"/>
        <rFont val="Aptos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著陸</t>
    </r>
  </si>
  <si>
    <t xml:space="preserve">月面下降</t>
  </si>
  <si>
    <r>
      <rPr>
        <sz val="10"/>
        <rFont val="Aptos"/>
        <family val="0"/>
        <charset val="1"/>
      </rPr>
      <t xml:space="preserve">LM </t>
    </r>
    <r>
      <rPr>
        <sz val="10"/>
        <rFont val="Noto Sans TC"/>
        <family val="2"/>
        <charset val="136"/>
      </rPr>
      <t xml:space="preserve">導航誤差導向 </t>
    </r>
    <r>
      <rPr>
        <sz val="10"/>
        <rFont val="Aptos"/>
        <family val="0"/>
        <charset val="1"/>
      </rPr>
      <t xml:space="preserve">West Crater </t>
    </r>
    <r>
      <rPr>
        <sz val="10"/>
        <rFont val="Noto Sans TC"/>
        <family val="2"/>
        <charset val="136"/>
      </rPr>
      <t xml:space="preserve">附近危險地形</t>
    </r>
  </si>
  <si>
    <t xml:space="preserve">需避開岩塊與坑洞</t>
  </si>
  <si>
    <r>
      <rPr>
        <sz val="10"/>
        <rFont val="Aptos"/>
        <family val="0"/>
        <charset val="1"/>
      </rPr>
      <t xml:space="preserve">Armstrong </t>
    </r>
    <r>
      <rPr>
        <sz val="10"/>
        <rFont val="Noto Sans TC"/>
        <family val="2"/>
        <charset val="136"/>
      </rPr>
      <t xml:space="preserve">手動控制，改選安全著陸點</t>
    </r>
  </si>
  <si>
    <t xml:space="preserve">電腦</t>
  </si>
  <si>
    <t xml:space="preserve">下降階段</t>
  </si>
  <si>
    <r>
      <rPr>
        <sz val="10"/>
        <rFont val="Aptos"/>
        <family val="0"/>
        <charset val="1"/>
      </rPr>
      <t xml:space="preserve">1201/1202 </t>
    </r>
    <r>
      <rPr>
        <sz val="10"/>
        <rFont val="Noto Sans TC"/>
        <family val="2"/>
        <charset val="136"/>
      </rPr>
      <t xml:space="preserve">程式警報</t>
    </r>
  </si>
  <si>
    <t xml:space="preserve">電腦過載警示</t>
  </si>
  <si>
    <r>
      <rPr>
        <sz val="10"/>
        <rFont val="Aptos"/>
        <family val="0"/>
        <charset val="1"/>
      </rPr>
      <t xml:space="preserve">Mission Control </t>
    </r>
    <r>
      <rPr>
        <sz val="10"/>
        <rFont val="Noto Sans TC"/>
        <family val="2"/>
        <charset val="136"/>
      </rPr>
      <t xml:space="preserve">判定可繼續著陸</t>
    </r>
  </si>
  <si>
    <t xml:space="preserve">推進劑</t>
  </si>
  <si>
    <t xml:space="preserve">著陸瞬間</t>
  </si>
  <si>
    <t xml:space="preserve">燃料餘量一度被認為極低</t>
  </si>
  <si>
    <t xml:space="preserve">增加著陸決策壓力</t>
  </si>
  <si>
    <r>
      <rPr>
        <sz val="10"/>
        <rFont val="Noto Sans TC"/>
        <family val="2"/>
        <charset val="136"/>
      </rPr>
      <t xml:space="preserve">事後分析約 </t>
    </r>
    <r>
      <rPr>
        <sz val="10"/>
        <rFont val="Aptos"/>
        <family val="0"/>
        <charset val="1"/>
      </rPr>
      <t xml:space="preserve">45 </t>
    </r>
    <r>
      <rPr>
        <sz val="10"/>
        <rFont val="Noto Sans TC"/>
        <family val="2"/>
        <charset val="136"/>
      </rPr>
      <t xml:space="preserve">秒餘量</t>
    </r>
  </si>
  <si>
    <t xml:space="preserve">任務變更</t>
  </si>
  <si>
    <r>
      <rPr>
        <sz val="10"/>
        <rFont val="Aptos"/>
        <family val="0"/>
        <charset val="1"/>
      </rPr>
      <t xml:space="preserve">EVA </t>
    </r>
    <r>
      <rPr>
        <sz val="10"/>
        <rFont val="Noto Sans TC"/>
        <family val="2"/>
        <charset val="136"/>
      </rPr>
      <t xml:space="preserve">前</t>
    </r>
  </si>
  <si>
    <r>
      <rPr>
        <sz val="10"/>
        <rFont val="Noto Sans TC"/>
        <family val="2"/>
        <charset val="136"/>
      </rPr>
      <t xml:space="preserve">原計畫休息後 </t>
    </r>
    <r>
      <rPr>
        <sz val="10"/>
        <rFont val="Aptos"/>
        <family val="0"/>
        <charset val="1"/>
      </rPr>
      <t xml:space="preserve">EVA</t>
    </r>
  </si>
  <si>
    <t xml:space="preserve">實際提前月面活動</t>
  </si>
  <si>
    <r>
      <rPr>
        <sz val="10"/>
        <rFont val="Aptos"/>
        <family val="0"/>
        <charset val="1"/>
      </rPr>
      <t xml:space="preserve">EVA </t>
    </r>
    <r>
      <rPr>
        <sz val="10"/>
        <rFont val="Noto Sans TC"/>
        <family val="2"/>
        <charset val="136"/>
      </rPr>
      <t xml:space="preserve">順利完成</t>
    </r>
  </si>
  <si>
    <t xml:space="preserve">發射後數分鐘</t>
  </si>
  <si>
    <r>
      <rPr>
        <sz val="10"/>
        <rFont val="Aptos"/>
        <family val="0"/>
        <charset val="1"/>
      </rPr>
      <t xml:space="preserve">S-II </t>
    </r>
    <r>
      <rPr>
        <sz val="10"/>
        <rFont val="Noto Sans TC"/>
        <family val="2"/>
        <charset val="136"/>
      </rPr>
      <t xml:space="preserve">中央引擎提早關機</t>
    </r>
  </si>
  <si>
    <t xml:space="preserve">可能影響入軌性能</t>
  </si>
  <si>
    <r>
      <rPr>
        <sz val="10"/>
        <rFont val="Noto Sans TC"/>
        <family val="2"/>
        <charset val="136"/>
      </rPr>
      <t xml:space="preserve">外側引擎與 </t>
    </r>
    <r>
      <rPr>
        <sz val="10"/>
        <rFont val="Aptos"/>
        <family val="0"/>
        <charset val="1"/>
      </rPr>
      <t xml:space="preserve">S-IVB </t>
    </r>
    <r>
      <rPr>
        <sz val="10"/>
        <rFont val="Noto Sans TC"/>
        <family val="2"/>
        <charset val="136"/>
      </rPr>
      <t xml:space="preserve">延長燃燒補償</t>
    </r>
  </si>
  <si>
    <t xml:space="preserve">主事故</t>
  </si>
  <si>
    <r>
      <rPr>
        <sz val="10"/>
        <rFont val="Aptos"/>
        <family val="0"/>
        <charset val="1"/>
      </rPr>
      <t xml:space="preserve">Service Module </t>
    </r>
    <r>
      <rPr>
        <sz val="10"/>
        <rFont val="Noto Sans TC"/>
        <family val="2"/>
        <charset val="136"/>
      </rPr>
      <t xml:space="preserve">氧氣槽 </t>
    </r>
    <r>
      <rPr>
        <sz val="10"/>
        <rFont val="Aptos"/>
        <family val="0"/>
        <charset val="1"/>
      </rPr>
      <t xml:space="preserve">2 </t>
    </r>
    <r>
      <rPr>
        <sz val="10"/>
        <rFont val="Noto Sans TC"/>
        <family val="2"/>
        <charset val="136"/>
      </rPr>
      <t xml:space="preserve">爆炸</t>
    </r>
  </si>
  <si>
    <r>
      <rPr>
        <sz val="10"/>
        <rFont val="Noto Sans TC"/>
        <family val="2"/>
        <charset val="136"/>
      </rPr>
      <t xml:space="preserve">損失氧氣、燃料電池、正常供電</t>
    </r>
    <r>
      <rPr>
        <sz val="10"/>
        <rFont val="Aptos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水；登月取消</t>
    </r>
  </si>
  <si>
    <r>
      <rPr>
        <sz val="10"/>
        <rFont val="Noto Sans TC"/>
        <family val="2"/>
        <charset val="136"/>
      </rPr>
      <t xml:space="preserve">轉用 </t>
    </r>
    <r>
      <rPr>
        <sz val="10"/>
        <rFont val="Aptos"/>
        <family val="0"/>
        <charset val="1"/>
      </rPr>
      <t xml:space="preserve">LM Aquarius </t>
    </r>
    <r>
      <rPr>
        <sz val="10"/>
        <rFont val="Noto Sans TC"/>
        <family val="2"/>
        <charset val="136"/>
      </rPr>
      <t xml:space="preserve">作救生艇</t>
    </r>
  </si>
  <si>
    <t xml:space="preserve">生命維持</t>
  </si>
  <si>
    <t xml:space="preserve">返航中</t>
  </si>
  <si>
    <r>
      <rPr>
        <sz val="10"/>
        <rFont val="Aptos"/>
        <family val="0"/>
        <charset val="1"/>
      </rPr>
      <t xml:space="preserve">LM </t>
    </r>
    <r>
      <rPr>
        <sz val="10"/>
        <rFont val="Noto Sans TC"/>
        <family val="2"/>
        <charset val="136"/>
      </rPr>
      <t xml:space="preserve">設計容量不足以支援 </t>
    </r>
    <r>
      <rPr>
        <sz val="10"/>
        <rFont val="Aptos"/>
        <family val="0"/>
        <charset val="1"/>
      </rPr>
      <t xml:space="preserve">3 </t>
    </r>
    <r>
      <rPr>
        <sz val="10"/>
        <rFont val="Noto Sans TC"/>
        <family val="2"/>
        <charset val="136"/>
      </rPr>
      <t xml:space="preserve">人返航</t>
    </r>
  </si>
  <si>
    <r>
      <rPr>
        <sz val="10"/>
        <rFont val="Aptos"/>
        <family val="0"/>
        <charset val="1"/>
      </rPr>
      <t xml:space="preserve">CO2</t>
    </r>
    <r>
      <rPr>
        <sz val="10"/>
        <rFont val="Noto Sans TC"/>
        <family val="2"/>
        <charset val="136"/>
      </rPr>
      <t xml:space="preserve">、水、電力、熱控壓力</t>
    </r>
  </si>
  <si>
    <t xml:space="preserve">地面與組員制定濾罐轉接與節電程序</t>
  </si>
  <si>
    <t xml:space="preserve">導航</t>
  </si>
  <si>
    <r>
      <rPr>
        <sz val="10"/>
        <rFont val="Noto Sans TC"/>
        <family val="2"/>
        <charset val="136"/>
      </rPr>
      <t xml:space="preserve">必須用 </t>
    </r>
    <r>
      <rPr>
        <sz val="10"/>
        <rFont val="Aptos"/>
        <family val="0"/>
        <charset val="1"/>
      </rPr>
      <t xml:space="preserve">LM </t>
    </r>
    <r>
      <rPr>
        <sz val="10"/>
        <rFont val="Noto Sans TC"/>
        <family val="2"/>
        <charset val="136"/>
      </rPr>
      <t xml:space="preserve">引擎做多次軌道修正</t>
    </r>
  </si>
  <si>
    <t xml:space="preserve">確保再入角度安全</t>
  </si>
  <si>
    <r>
      <rPr>
        <sz val="10"/>
        <rFont val="Aptos"/>
        <family val="0"/>
        <charset val="1"/>
      </rPr>
      <t xml:space="preserve">PC+2</t>
    </r>
    <r>
      <rPr>
        <sz val="10"/>
        <rFont val="Noto Sans TC"/>
        <family val="2"/>
        <charset val="136"/>
      </rPr>
      <t xml:space="preserve">、</t>
    </r>
    <r>
      <rPr>
        <sz val="10"/>
        <rFont val="Aptos"/>
        <family val="0"/>
        <charset val="1"/>
      </rPr>
      <t xml:space="preserve">DPS </t>
    </r>
    <r>
      <rPr>
        <sz val="10"/>
        <rFont val="Noto Sans TC"/>
        <family val="2"/>
        <charset val="136"/>
      </rPr>
      <t xml:space="preserve">與 </t>
    </r>
    <r>
      <rPr>
        <sz val="10"/>
        <rFont val="Aptos"/>
        <family val="0"/>
        <charset val="1"/>
      </rPr>
      <t xml:space="preserve">RCS </t>
    </r>
    <r>
      <rPr>
        <sz val="10"/>
        <rFont val="Noto Sans TC"/>
        <family val="2"/>
        <charset val="136"/>
      </rPr>
      <t xml:space="preserve">修正燃燒</t>
    </r>
  </si>
  <si>
    <t xml:space="preserve">再入風險</t>
  </si>
  <si>
    <t xml:space="preserve">濺落前</t>
  </si>
  <si>
    <t xml:space="preserve">未知熱盾是否受爆炸影響</t>
  </si>
  <si>
    <t xml:space="preserve">再入前不確定性高</t>
  </si>
  <si>
    <r>
      <rPr>
        <sz val="10"/>
        <rFont val="Aptos"/>
        <family val="0"/>
        <charset val="1"/>
      </rPr>
      <t xml:space="preserve">CM Odyssey </t>
    </r>
    <r>
      <rPr>
        <sz val="10"/>
        <rFont val="Noto Sans TC"/>
        <family val="2"/>
        <charset val="136"/>
      </rPr>
      <t xml:space="preserve">熱盾有效，安全濺落</t>
    </r>
  </si>
  <si>
    <t xml:space="preserve">根因</t>
  </si>
  <si>
    <r>
      <rPr>
        <sz val="10"/>
        <rFont val="Noto Sans TC"/>
        <family val="2"/>
        <charset val="136"/>
      </rPr>
      <t xml:space="preserve">地面測試</t>
    </r>
    <r>
      <rPr>
        <sz val="10"/>
        <rFont val="Aptos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設計</t>
    </r>
  </si>
  <si>
    <r>
      <rPr>
        <sz val="10"/>
        <rFont val="Noto Sans TC"/>
        <family val="2"/>
        <charset val="136"/>
      </rPr>
      <t xml:space="preserve">氧氣槽加熱器</t>
    </r>
    <r>
      <rPr>
        <sz val="10"/>
        <rFont val="Aptos"/>
        <family val="0"/>
        <charset val="1"/>
      </rPr>
      <t xml:space="preserve">/</t>
    </r>
    <r>
      <rPr>
        <sz val="10"/>
        <rFont val="Noto Sans TC"/>
        <family val="2"/>
        <charset val="136"/>
      </rPr>
      <t xml:space="preserve">開關設計電壓不匹配與地面測試損傷</t>
    </r>
  </si>
  <si>
    <t xml:space="preserve">導致飛行中短路與爆炸</t>
  </si>
  <si>
    <r>
      <rPr>
        <sz val="10"/>
        <rFont val="Noto Sans TC"/>
        <family val="2"/>
        <charset val="136"/>
      </rPr>
      <t xml:space="preserve">後續 </t>
    </r>
    <r>
      <rPr>
        <sz val="10"/>
        <rFont val="Aptos"/>
        <family val="0"/>
        <charset val="1"/>
      </rPr>
      <t xml:space="preserve">Apollo </t>
    </r>
    <r>
      <rPr>
        <sz val="10"/>
        <rFont val="Noto Sans TC"/>
        <family val="2"/>
        <charset val="136"/>
      </rPr>
      <t xml:space="preserve">增設隔離第三氧氣槽與備用電力</t>
    </r>
  </si>
  <si>
    <t xml:space="preserve">https://www.lpi.usra.edu/lunar/missions/apollo/apollo_13/ ; https://www.nasa.gov/missions/apollo/apollo-13-mission-details/</t>
  </si>
  <si>
    <t xml:space="preserve">資料來源與可信度備註</t>
  </si>
  <si>
    <t xml:space="preserve">來源名稱</t>
  </si>
  <si>
    <t xml:space="preserve">類型</t>
  </si>
  <si>
    <t xml:space="preserve">URL</t>
  </si>
  <si>
    <t xml:space="preserve">本試算表使用內容</t>
  </si>
  <si>
    <t xml:space="preserve">NASA Apollo 11 Mission Overview</t>
  </si>
  <si>
    <r>
      <rPr>
        <sz val="10"/>
        <rFont val="Aptos"/>
        <family val="0"/>
        <charset val="1"/>
      </rPr>
      <t xml:space="preserve">NASA </t>
    </r>
    <r>
      <rPr>
        <sz val="10"/>
        <rFont val="Noto Sans TC"/>
        <family val="2"/>
        <charset val="136"/>
      </rPr>
      <t xml:space="preserve">官方網頁</t>
    </r>
  </si>
  <si>
    <r>
      <rPr>
        <sz val="10"/>
        <rFont val="Aptos"/>
        <family val="0"/>
        <charset val="1"/>
      </rPr>
      <t xml:space="preserve">Apollo 11 </t>
    </r>
    <r>
      <rPr>
        <sz val="10"/>
        <rFont val="Noto Sans TC"/>
        <family val="2"/>
        <charset val="136"/>
      </rPr>
      <t xml:space="preserve">發射、軌道、月面、濺落、組員、航程與任務時長</t>
    </r>
  </si>
  <si>
    <r>
      <rPr>
        <sz val="10"/>
        <rFont val="Aptos"/>
        <family val="0"/>
        <charset val="1"/>
      </rPr>
      <t xml:space="preserve">NASA </t>
    </r>
    <r>
      <rPr>
        <sz val="10"/>
        <rFont val="Noto Sans TC"/>
        <family val="2"/>
        <charset val="136"/>
      </rPr>
      <t xml:space="preserve">頁面最後更新 </t>
    </r>
    <r>
      <rPr>
        <sz val="10"/>
        <rFont val="Aptos"/>
        <family val="0"/>
        <charset val="1"/>
      </rPr>
      <t xml:space="preserve">2024-01-05</t>
    </r>
  </si>
  <si>
    <t xml:space="preserve">NASA Apollo 13 Mission Details</t>
  </si>
  <si>
    <r>
      <rPr>
        <sz val="10"/>
        <rFont val="Aptos"/>
        <family val="0"/>
        <charset val="1"/>
      </rPr>
      <t xml:space="preserve">Apollo 13 </t>
    </r>
    <r>
      <rPr>
        <sz val="10"/>
        <rFont val="Noto Sans TC"/>
        <family val="2"/>
        <charset val="136"/>
      </rPr>
      <t xml:space="preserve">事故敘述、氧氣槽、</t>
    </r>
    <r>
      <rPr>
        <sz val="10"/>
        <rFont val="Aptos"/>
        <family val="0"/>
        <charset val="1"/>
      </rPr>
      <t xml:space="preserve">LM lifeboat</t>
    </r>
    <r>
      <rPr>
        <sz val="10"/>
        <rFont val="Noto Sans TC"/>
        <family val="2"/>
        <charset val="136"/>
      </rPr>
      <t xml:space="preserve">、任務結論</t>
    </r>
  </si>
  <si>
    <r>
      <rPr>
        <sz val="10"/>
        <rFont val="Aptos"/>
        <family val="0"/>
        <charset val="1"/>
      </rPr>
      <t xml:space="preserve">NASA </t>
    </r>
    <r>
      <rPr>
        <sz val="10"/>
        <rFont val="Noto Sans TC"/>
        <family val="2"/>
        <charset val="136"/>
      </rPr>
      <t xml:space="preserve">官方任務說明</t>
    </r>
  </si>
  <si>
    <t xml:space="preserve">LPI Apollo 11 Mission Overview</t>
  </si>
  <si>
    <t xml:space="preserve">Lunar and Planetary Institute</t>
  </si>
  <si>
    <r>
      <rPr>
        <sz val="10"/>
        <rFont val="Aptos"/>
        <family val="0"/>
        <charset val="1"/>
      </rPr>
      <t xml:space="preserve">Apollo 11 </t>
    </r>
    <r>
      <rPr>
        <sz val="10"/>
        <rFont val="Noto Sans TC"/>
        <family val="2"/>
        <charset val="136"/>
      </rPr>
      <t xml:space="preserve">著陸、</t>
    </r>
    <r>
      <rPr>
        <sz val="10"/>
        <rFont val="Aptos"/>
        <family val="0"/>
        <charset val="1"/>
      </rPr>
      <t xml:space="preserve">EVA</t>
    </r>
    <r>
      <rPr>
        <sz val="10"/>
        <rFont val="Noto Sans TC"/>
        <family val="2"/>
        <charset val="136"/>
      </rPr>
      <t xml:space="preserve">、採樣、月球軌道圈數、燃料餘量等</t>
    </r>
  </si>
  <si>
    <r>
      <rPr>
        <sz val="10"/>
        <rFont val="Aptos"/>
        <family val="0"/>
        <charset val="1"/>
      </rPr>
      <t xml:space="preserve">LPI/USRA </t>
    </r>
    <r>
      <rPr>
        <sz val="10"/>
        <rFont val="Noto Sans TC"/>
        <family val="2"/>
        <charset val="136"/>
      </rPr>
      <t xml:space="preserve">任務摘要</t>
    </r>
  </si>
  <si>
    <t xml:space="preserve">LPI Apollo 13 Mission Overview</t>
  </si>
  <si>
    <r>
      <rPr>
        <sz val="10"/>
        <rFont val="Aptos"/>
        <family val="0"/>
        <charset val="1"/>
      </rPr>
      <t xml:space="preserve">Apollo 13 </t>
    </r>
    <r>
      <rPr>
        <sz val="10"/>
        <rFont val="Noto Sans TC"/>
        <family val="2"/>
        <charset val="136"/>
      </rPr>
      <t xml:space="preserve">組員更換、事故、返航生活條件、根因與改良</t>
    </r>
  </si>
  <si>
    <t xml:space="preserve">NASA SP-4029 Apollo by the Numbers</t>
  </si>
  <si>
    <t xml:space="preserve">NASA History Series PDF</t>
  </si>
  <si>
    <t xml:space="preserve">總航程、時長、軌道、座標、最大距離等統計資料</t>
  </si>
  <si>
    <r>
      <rPr>
        <sz val="10"/>
        <rFont val="Aptos"/>
        <family val="0"/>
        <charset val="1"/>
      </rPr>
      <t xml:space="preserve">Richard W. Orloff </t>
    </r>
    <r>
      <rPr>
        <sz val="10"/>
        <rFont val="Noto Sans TC"/>
        <family val="2"/>
        <charset val="136"/>
      </rPr>
      <t xml:space="preserve">統計型資料集</t>
    </r>
  </si>
  <si>
    <t xml:space="preserve">Apollo 11 Press Kit</t>
  </si>
  <si>
    <t xml:space="preserve">NASA Press Kit PDF</t>
  </si>
  <si>
    <t xml:space="preserve">https://www.nasa.gov/wp-content/uploads/static/apollo50th/pdf/A11_PressKit.pdf</t>
  </si>
  <si>
    <r>
      <rPr>
        <sz val="10"/>
        <rFont val="Aptos"/>
        <family val="0"/>
        <charset val="1"/>
      </rPr>
      <t xml:space="preserve">Apollo 11 </t>
    </r>
    <r>
      <rPr>
        <sz val="10"/>
        <rFont val="Noto Sans TC"/>
        <family val="2"/>
        <charset val="136"/>
      </rPr>
      <t xml:space="preserve">發射、載具、計畫與細節補充</t>
    </r>
  </si>
  <si>
    <t xml:space="preserve">歷史新聞資料包</t>
  </si>
  <si>
    <t xml:space="preserve">Apollo 13 Press Kit</t>
  </si>
  <si>
    <t xml:space="preserve">https://www.nasa.gov/wp-content/uploads/static/apollo50th/pdf/A13_PressKit.pdf</t>
  </si>
  <si>
    <r>
      <rPr>
        <sz val="10"/>
        <rFont val="Aptos"/>
        <family val="0"/>
        <charset val="1"/>
      </rPr>
      <t xml:space="preserve">Apollo 13 </t>
    </r>
    <r>
      <rPr>
        <sz val="10"/>
        <rFont val="Noto Sans TC"/>
        <family val="2"/>
        <charset val="136"/>
      </rPr>
      <t xml:space="preserve">發射載具、計畫任務目標、硬體補充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</si>
</sst>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4">
    <font>
      <sz val="1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name val="Calibri"/>
      <family val="0"/>
      <charset val="1"/>
    </font>
    <font>
      <b val="true"/>
      <sz val="16"/>
      <color rgb="FFFFFFFF"/>
      <name val="Noto Sans TC"/>
      <family val="2"/>
      <charset val="136"/>
    </font>
    <font>
      <b val="true"/>
      <sz val="16"/>
      <color rgb="FFFFFFFF"/>
      <name val="Aptos"/>
      <family val="0"/>
      <charset val="1"/>
    </font>
    <font>
      <i val="true"/>
      <sz val="10"/>
      <color rgb="FF404040"/>
      <name val="Noto Sans TC"/>
      <family val="2"/>
      <charset val="136"/>
    </font>
    <font>
      <b val="true"/>
      <sz val="10"/>
      <color rgb="FFFFFFFF"/>
      <name val="Noto Sans TC"/>
      <family val="2"/>
      <charset val="136"/>
    </font>
    <font>
      <b val="true"/>
      <sz val="10"/>
      <color rgb="FFFFFFFF"/>
      <name val="Aptos"/>
      <family val="0"/>
      <charset val="1"/>
    </font>
    <font>
      <sz val="10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0"/>
      <color rgb="FF404040"/>
      <name val="Apto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F33"/>
        <bgColor rgb="FF003300"/>
      </patternFill>
    </fill>
    <fill>
      <patternFill patternType="solid">
        <fgColor rgb="FF1F4E78"/>
        <bgColor rgb="FF156082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B1F33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任務時長與總航程比較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總覽!$A$13:$A$14</c:f>
              <c:strCache>
                <c:ptCount val="2"/>
                <c:pt idx="0">
                  <c:v>任務總時長（小時）</c:v>
                </c:pt>
                <c:pt idx="1">
                  <c:v>總航程（英里）</c:v>
                </c:pt>
              </c:strCache>
            </c:strRef>
          </c:cat>
          <c:val>
            <c:numRef>
              <c:f>總覽!$B$13:$B$14</c:f>
              <c:numCache>
                <c:formatCode>General</c:formatCode>
                <c:ptCount val="2"/>
                <c:pt idx="0">
                  <c:v>195.309722222222</c:v>
                </c:pt>
                <c:pt idx="1">
                  <c:v>953054</c:v>
                </c:pt>
              </c:numCache>
            </c:numRef>
          </c:val>
        </c:ser>
        <c:ser>
          <c:idx val="1"/>
          <c:order val="1"/>
          <c:tx>
            <c:strRef>
              <c:f>"Series 2"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總覽!$A$13:$A$14</c:f>
              <c:strCache>
                <c:ptCount val="2"/>
                <c:pt idx="0">
                  <c:v>任務總時長（小時）</c:v>
                </c:pt>
                <c:pt idx="1">
                  <c:v>總航程（英里）</c:v>
                </c:pt>
              </c:strCache>
            </c:strRef>
          </c:cat>
          <c:val>
            <c:numRef>
              <c:f>總覽!$C$13:$C$14</c:f>
              <c:numCache>
                <c:formatCode>General</c:formatCode>
                <c:ptCount val="2"/>
                <c:pt idx="0">
                  <c:v>142.911388888889</c:v>
                </c:pt>
                <c:pt idx="1">
                  <c:v>622268</c:v>
                </c:pt>
              </c:numCache>
            </c:numRef>
          </c:val>
        </c:ser>
        <c:gapWidth val="150"/>
        <c:overlap val="0"/>
        <c:axId val="62640485"/>
        <c:axId val="79880614"/>
      </c:barChart>
      <c:catAx>
        <c:axId val="6264048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9880614"/>
        <c:crosses val="autoZero"/>
        <c:auto val="1"/>
        <c:lblAlgn val="ctr"/>
        <c:lblOffset val="100"/>
        <c:noMultiLvlLbl val="0"/>
      </c:catAx>
      <c:valAx>
        <c:axId val="7988061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26404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9</xdr:row>
      <xdr:rowOff>0</xdr:rowOff>
    </xdr:from>
    <xdr:to>
      <xdr:col>12</xdr:col>
      <xdr:colOff>611280</xdr:colOff>
      <xdr:row>23</xdr:row>
      <xdr:rowOff>190440</xdr:rowOff>
    </xdr:to>
    <xdr:graphicFrame>
      <xdr:nvGraphicFramePr>
        <xdr:cNvPr id="0" name="Chart"/>
        <xdr:cNvGraphicFramePr/>
      </xdr:nvGraphicFramePr>
      <xdr:xfrm>
        <a:off x="12241440" y="1879560"/>
        <a:ext cx="428040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rewTable" displayName="CrewTable" ref="A3:G14" headerRowCount="1" totalsRowCount="0" totalsRowShown="0">
  <tableColumns count="7">
    <tableColumn id="1" name="任務"/>
    <tableColumn id="2" name="姓名"/>
    <tableColumn id="3" name="職位"/>
    <tableColumn id="4" name="任務內角色/位置"/>
    <tableColumn id="5" name="太空船/呼號"/>
    <tableColumn id="6" name="備註"/>
    <tableColumn id="7" name="來源"/>
  </tableColumns>
</table>
</file>

<file path=xl/tables/table2.xml><?xml version="1.0" encoding="utf-8"?>
<table xmlns="http://schemas.openxmlformats.org/spreadsheetml/2006/main" id="2" name="EventsTable" displayName="EventsTable" ref="A3:G13" headerRowCount="1" totalsRowCount="0" totalsRowShown="0">
  <tableColumns count="7">
    <tableColumn id="1" name="任務"/>
    <tableColumn id="2" name="類別"/>
    <tableColumn id="3" name="時間/MET"/>
    <tableColumn id="4" name="事件"/>
    <tableColumn id="5" name="影響"/>
    <tableColumn id="6" name="處置/結果"/>
    <tableColumn id="7" name="來源"/>
  </tableColumns>
</table>
</file>

<file path=xl/tables/table3.xml><?xml version="1.0" encoding="utf-8"?>
<table xmlns="http://schemas.openxmlformats.org/spreadsheetml/2006/main" id="3" name="LaunchTable" displayName="LaunchTable" ref="A3:E16" headerRowCount="1" totalsRowCount="0" totalsRowShown="0">
  <tableColumns count="5">
    <tableColumn id="1" name="項目"/>
    <tableColumn id="2" name="阿波羅 11 號"/>
    <tableColumn id="3" name="阿波羅 13 號"/>
    <tableColumn id="4" name="單位/格式"/>
    <tableColumn id="5" name="來源"/>
  </tableColumns>
</table>
</file>

<file path=xl/tables/table4.xml><?xml version="1.0" encoding="utf-8"?>
<table xmlns="http://schemas.openxmlformats.org/spreadsheetml/2006/main" id="4" name="LunarTable" displayName="LunarTable" ref="A3:E16" headerRowCount="1" totalsRowCount="0" totalsRowShown="0">
  <tableColumns count="5">
    <tableColumn id="1" name="任務"/>
    <tableColumn id="2" name="項目"/>
    <tableColumn id="3" name="數據/狀態"/>
    <tableColumn id="4" name="細節"/>
    <tableColumn id="5" name="來源"/>
  </tableColumns>
</table>
</file>

<file path=xl/tables/table5.xml><?xml version="1.0" encoding="utf-8"?>
<table xmlns="http://schemas.openxmlformats.org/spreadsheetml/2006/main" id="5" name="OrbitTable" displayName="OrbitTable" ref="A3:F21" headerRowCount="1" totalsRowCount="0" totalsRowShown="0">
  <tableColumns count="6">
    <tableColumn id="1" name="分類"/>
    <tableColumn id="2" name="數據項"/>
    <tableColumn id="3" name="阿波羅 11 號"/>
    <tableColumn id="4" name="阿波羅 13 號"/>
    <tableColumn id="5" name="單位"/>
    <tableColumn id="6" name="來源"/>
  </tableColumns>
</table>
</file>

<file path=xl/tables/table6.xml><?xml version="1.0" encoding="utf-8"?>
<table xmlns="http://schemas.openxmlformats.org/spreadsheetml/2006/main" id="6" name="SourcesTable" displayName="SourcesTable" ref="A3:E10" headerRowCount="1" totalsRowCount="0" totalsRowShown="0">
  <tableColumns count="5">
    <tableColumn id="1" name="來源名稱"/>
    <tableColumn id="2" name="類型"/>
    <tableColumn id="3" name="URL"/>
    <tableColumn id="4" name="本試算表使用內容"/>
    <tableColumn id="5" name="備註"/>
  </tableColumns>
</table>
</file>

<file path=xl/tables/table7.xml><?xml version="1.0" encoding="utf-8"?>
<table xmlns="http://schemas.openxmlformats.org/spreadsheetml/2006/main" id="7" name="SummaryTable" displayName="SummaryTable" ref="A4:E18" headerRowCount="1" totalsRowCount="0" totalsRowShown="0">
  <tableColumns count="5">
    <tableColumn id="1" name="欄位"/>
    <tableColumn id="2" name="阿波羅 11 號"/>
    <tableColumn id="3" name="阿波羅 13 號"/>
    <tableColumn id="4" name="備註"/>
    <tableColumn id="5" name="主要來源"/>
  </tableColumns>
</table>
</file>

<file path=xl/tables/table8.xml><?xml version="1.0" encoding="utf-8"?>
<table xmlns="http://schemas.openxmlformats.org/spreadsheetml/2006/main" id="8" name="TimelineTable" displayName="TimelineTable" ref="A3:F33" headerRowCount="1" totalsRowCount="0" totalsRowShown="0">
  <tableColumns count="6">
    <tableColumn id="1" name="任務"/>
    <tableColumn id="2" name="MET"/>
    <tableColumn id="3" name="UTC / 日期"/>
    <tableColumn id="4" name="事件"/>
    <tableColumn id="5" name="數值/結果"/>
    <tableColumn id="6" name="來源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7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8" activeCellId="0" sqref="E2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30"/>
    <col collapsed="false" customWidth="true" hidden="false" outlineLevel="0" max="4" min="4" style="0" width="36"/>
    <col collapsed="false" customWidth="true" hidden="false" outlineLevel="0" max="5" min="5" style="0" width="45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2"/>
      <c r="G4" s="4" t="s">
        <v>6</v>
      </c>
      <c r="H4" s="4" t="s">
        <v>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 t="s">
        <v>8</v>
      </c>
      <c r="B5" s="2" t="s">
        <v>9</v>
      </c>
      <c r="C5" s="2" t="s">
        <v>10</v>
      </c>
      <c r="D5" s="5" t="s">
        <v>11</v>
      </c>
      <c r="E5" s="5" t="s">
        <v>12</v>
      </c>
      <c r="F5" s="2"/>
      <c r="G5" s="5" t="s">
        <v>13</v>
      </c>
      <c r="H5" s="6" t="n">
        <f aca="false">B13-C13</f>
        <v>52.3983333333333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2" t="s">
        <v>14</v>
      </c>
      <c r="B6" s="5" t="s">
        <v>15</v>
      </c>
      <c r="C6" s="5" t="s">
        <v>16</v>
      </c>
      <c r="D6" s="2" t="s">
        <v>17</v>
      </c>
      <c r="E6" s="5" t="s">
        <v>18</v>
      </c>
      <c r="F6" s="2"/>
      <c r="G6" s="5" t="s">
        <v>19</v>
      </c>
      <c r="H6" s="6" t="n">
        <f aca="false">B14/C14</f>
        <v>1.53158124795104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2" t="s">
        <v>20</v>
      </c>
      <c r="B7" s="5" t="s">
        <v>21</v>
      </c>
      <c r="C7" s="5" t="s">
        <v>22</v>
      </c>
      <c r="D7" s="2" t="s">
        <v>23</v>
      </c>
      <c r="E7" s="5" t="s">
        <v>24</v>
      </c>
      <c r="F7" s="2"/>
      <c r="G7" s="5" t="s">
        <v>25</v>
      </c>
      <c r="H7" s="2" t="n">
        <v>21.6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2" t="s">
        <v>26</v>
      </c>
      <c r="B8" s="5" t="s">
        <v>27</v>
      </c>
      <c r="C8" s="5" t="s">
        <v>28</v>
      </c>
      <c r="D8" s="2" t="s">
        <v>29</v>
      </c>
      <c r="E8" s="5" t="s">
        <v>24</v>
      </c>
      <c r="F8" s="2"/>
      <c r="G8" s="5" t="s">
        <v>30</v>
      </c>
      <c r="H8" s="2" t="s">
        <v>31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2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2" t="s">
        <v>37</v>
      </c>
      <c r="B10" s="5" t="s">
        <v>38</v>
      </c>
      <c r="C10" s="5" t="s">
        <v>39</v>
      </c>
      <c r="D10" s="5" t="s">
        <v>40</v>
      </c>
      <c r="E10" s="5" t="s">
        <v>36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2" t="s">
        <v>41</v>
      </c>
      <c r="B11" s="5" t="s">
        <v>42</v>
      </c>
      <c r="C11" s="5" t="s">
        <v>43</v>
      </c>
      <c r="D11" s="5" t="s">
        <v>44</v>
      </c>
      <c r="E11" s="5" t="s">
        <v>45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2" t="s">
        <v>46</v>
      </c>
      <c r="B12" s="5" t="s">
        <v>47</v>
      </c>
      <c r="C12" s="5" t="s">
        <v>48</v>
      </c>
      <c r="D12" s="2" t="s">
        <v>49</v>
      </c>
      <c r="E12" s="5" t="s">
        <v>50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2" t="s">
        <v>51</v>
      </c>
      <c r="B13" s="6" t="n">
        <v>195.309722222222</v>
      </c>
      <c r="C13" s="6" t="n">
        <v>142.911388888889</v>
      </c>
      <c r="D13" s="2" t="s">
        <v>52</v>
      </c>
      <c r="E13" s="5" t="s">
        <v>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 t="s">
        <v>53</v>
      </c>
      <c r="B14" s="6" t="n">
        <v>953054</v>
      </c>
      <c r="C14" s="6" t="n">
        <v>622268</v>
      </c>
      <c r="D14" s="5" t="s">
        <v>54</v>
      </c>
      <c r="E14" s="5" t="s">
        <v>50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 t="s">
        <v>55</v>
      </c>
      <c r="B15" s="2" t="s">
        <v>56</v>
      </c>
      <c r="C15" s="5" t="s">
        <v>57</v>
      </c>
      <c r="D15" s="5" t="s">
        <v>58</v>
      </c>
      <c r="E15" s="5" t="s">
        <v>59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 t="s">
        <v>60</v>
      </c>
      <c r="B16" s="5" t="s">
        <v>61</v>
      </c>
      <c r="C16" s="2" t="s">
        <v>62</v>
      </c>
      <c r="D16" s="5" t="s">
        <v>63</v>
      </c>
      <c r="E16" s="5" t="s">
        <v>45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 t="s">
        <v>64</v>
      </c>
      <c r="B17" s="5" t="s">
        <v>65</v>
      </c>
      <c r="C17" s="5" t="s">
        <v>66</v>
      </c>
      <c r="D17" s="2" t="s">
        <v>67</v>
      </c>
      <c r="E17" s="5" t="s">
        <v>50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 t="s">
        <v>68</v>
      </c>
      <c r="B18" s="2" t="s">
        <v>69</v>
      </c>
      <c r="C18" s="2" t="s">
        <v>70</v>
      </c>
      <c r="D18" s="5" t="s">
        <v>71</v>
      </c>
      <c r="E18" s="5" t="s">
        <v>12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6"/>
    <col collapsed="false" customWidth="true" hidden="false" outlineLevel="0" max="4" min="4" style="0" width="28"/>
    <col collapsed="false" customWidth="true" hidden="false" outlineLevel="0" max="5" min="5" style="0" width="46"/>
  </cols>
  <sheetData>
    <row r="1" customFormat="false" ht="28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4" t="s">
        <v>73</v>
      </c>
      <c r="B3" s="4" t="s">
        <v>2</v>
      </c>
      <c r="C3" s="4" t="s">
        <v>3</v>
      </c>
      <c r="D3" s="4" t="s">
        <v>74</v>
      </c>
      <c r="E3" s="4" t="s">
        <v>75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 t="s">
        <v>76</v>
      </c>
      <c r="B4" s="5" t="s">
        <v>15</v>
      </c>
      <c r="C4" s="5" t="s">
        <v>16</v>
      </c>
      <c r="D4" s="5" t="s">
        <v>77</v>
      </c>
      <c r="E4" s="5" t="s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 t="s">
        <v>78</v>
      </c>
      <c r="B5" s="5" t="s">
        <v>79</v>
      </c>
      <c r="C5" s="5" t="s">
        <v>80</v>
      </c>
      <c r="D5" s="2" t="s">
        <v>81</v>
      </c>
      <c r="E5" s="5" t="s">
        <v>24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2" t="s">
        <v>20</v>
      </c>
      <c r="B6" s="5" t="s">
        <v>82</v>
      </c>
      <c r="C6" s="5" t="s">
        <v>82</v>
      </c>
      <c r="D6" s="5" t="s">
        <v>83</v>
      </c>
      <c r="E6" s="5" t="s">
        <v>24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2" t="s">
        <v>84</v>
      </c>
      <c r="B7" s="5" t="s">
        <v>27</v>
      </c>
      <c r="C7" s="5" t="s">
        <v>28</v>
      </c>
      <c r="D7" s="2" t="s">
        <v>85</v>
      </c>
      <c r="E7" s="5" t="s">
        <v>24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2" t="s">
        <v>86</v>
      </c>
      <c r="B8" s="5" t="s">
        <v>87</v>
      </c>
      <c r="C8" s="5" t="s">
        <v>88</v>
      </c>
      <c r="D8" s="5" t="s">
        <v>89</v>
      </c>
      <c r="E8" s="5" t="s">
        <v>50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2" t="s">
        <v>90</v>
      </c>
      <c r="B9" s="2" t="s">
        <v>91</v>
      </c>
      <c r="C9" s="2" t="s">
        <v>92</v>
      </c>
      <c r="D9" s="2" t="s">
        <v>93</v>
      </c>
      <c r="E9" s="5" t="s">
        <v>59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2" t="s">
        <v>94</v>
      </c>
      <c r="B10" s="5" t="s">
        <v>95</v>
      </c>
      <c r="C10" s="2" t="s">
        <v>96</v>
      </c>
      <c r="D10" s="2" t="s">
        <v>97</v>
      </c>
      <c r="E10" s="5" t="s">
        <v>50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2" t="s">
        <v>98</v>
      </c>
      <c r="B11" s="5" t="s">
        <v>99</v>
      </c>
      <c r="C11" s="2" t="s">
        <v>100</v>
      </c>
      <c r="D11" s="5" t="s">
        <v>101</v>
      </c>
      <c r="E11" s="5" t="s">
        <v>50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5" t="s">
        <v>102</v>
      </c>
      <c r="B12" s="5" t="s">
        <v>103</v>
      </c>
      <c r="C12" s="5" t="s">
        <v>104</v>
      </c>
      <c r="D12" s="5" t="s">
        <v>105</v>
      </c>
      <c r="E12" s="5" t="s">
        <v>50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5" t="s">
        <v>106</v>
      </c>
      <c r="B13" s="2" t="s">
        <v>107</v>
      </c>
      <c r="C13" s="2" t="s">
        <v>108</v>
      </c>
      <c r="D13" s="5" t="s">
        <v>109</v>
      </c>
      <c r="E13" s="5" t="s">
        <v>110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5" t="s">
        <v>111</v>
      </c>
      <c r="B14" s="2" t="s">
        <v>112</v>
      </c>
      <c r="C14" s="2" t="s">
        <v>113</v>
      </c>
      <c r="D14" s="5" t="s">
        <v>114</v>
      </c>
      <c r="E14" s="5" t="s">
        <v>59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5" t="s">
        <v>115</v>
      </c>
      <c r="B15" s="2" t="s">
        <v>116</v>
      </c>
      <c r="C15" s="2" t="s">
        <v>117</v>
      </c>
      <c r="D15" s="5" t="s">
        <v>114</v>
      </c>
      <c r="E15" s="5" t="s">
        <v>59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 t="s">
        <v>118</v>
      </c>
      <c r="B16" s="2" t="s">
        <v>119</v>
      </c>
      <c r="C16" s="5" t="s">
        <v>120</v>
      </c>
      <c r="D16" s="2" t="s">
        <v>121</v>
      </c>
      <c r="E16" s="5" t="s">
        <v>59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0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48"/>
  </cols>
  <sheetData>
    <row r="1" customFormat="false" ht="28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7" t="s">
        <v>123</v>
      </c>
      <c r="B2" s="7"/>
      <c r="C2" s="7"/>
      <c r="D2" s="7"/>
      <c r="E2" s="7"/>
      <c r="F2" s="7"/>
      <c r="G2" s="7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4" t="s">
        <v>124</v>
      </c>
      <c r="B3" s="8" t="s">
        <v>125</v>
      </c>
      <c r="C3" s="8" t="s">
        <v>126</v>
      </c>
      <c r="D3" s="4" t="s">
        <v>127</v>
      </c>
      <c r="E3" s="4" t="s">
        <v>128</v>
      </c>
      <c r="F3" s="4" t="s">
        <v>75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5" t="s">
        <v>129</v>
      </c>
      <c r="B4" s="5" t="s">
        <v>130</v>
      </c>
      <c r="C4" s="5" t="s">
        <v>15</v>
      </c>
      <c r="D4" s="2" t="s">
        <v>131</v>
      </c>
      <c r="E4" s="5" t="s">
        <v>132</v>
      </c>
      <c r="F4" s="5" t="s">
        <v>133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5" t="s">
        <v>129</v>
      </c>
      <c r="B5" s="2" t="s">
        <v>134</v>
      </c>
      <c r="C5" s="5" t="s">
        <v>135</v>
      </c>
      <c r="D5" s="2" t="s">
        <v>136</v>
      </c>
      <c r="E5" s="2" t="s">
        <v>137</v>
      </c>
      <c r="F5" s="5" t="s">
        <v>133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129</v>
      </c>
      <c r="B6" s="5" t="s">
        <v>138</v>
      </c>
      <c r="C6" s="5" t="s">
        <v>135</v>
      </c>
      <c r="D6" s="5" t="s">
        <v>139</v>
      </c>
      <c r="E6" s="2" t="s">
        <v>140</v>
      </c>
      <c r="F6" s="5" t="s">
        <v>133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5" t="s">
        <v>129</v>
      </c>
      <c r="B7" s="5" t="s">
        <v>141</v>
      </c>
      <c r="C7" s="5" t="s">
        <v>135</v>
      </c>
      <c r="D7" s="5" t="s">
        <v>142</v>
      </c>
      <c r="E7" s="2" t="s">
        <v>143</v>
      </c>
      <c r="F7" s="5" t="s">
        <v>133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5" t="s">
        <v>129</v>
      </c>
      <c r="B8" s="5" t="s">
        <v>144</v>
      </c>
      <c r="C8" s="5" t="s">
        <v>145</v>
      </c>
      <c r="D8" s="2" t="s">
        <v>146</v>
      </c>
      <c r="E8" s="5" t="s">
        <v>147</v>
      </c>
      <c r="F8" s="5" t="s">
        <v>133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5" t="s">
        <v>129</v>
      </c>
      <c r="B9" s="2" t="s">
        <v>148</v>
      </c>
      <c r="C9" s="5" t="s">
        <v>149</v>
      </c>
      <c r="D9" s="2" t="s">
        <v>150</v>
      </c>
      <c r="E9" s="5" t="s">
        <v>151</v>
      </c>
      <c r="F9" s="5" t="s">
        <v>133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5" t="s">
        <v>129</v>
      </c>
      <c r="B10" s="5" t="s">
        <v>152</v>
      </c>
      <c r="C10" s="5" t="s">
        <v>153</v>
      </c>
      <c r="D10" s="5" t="s">
        <v>154</v>
      </c>
      <c r="E10" s="2" t="s">
        <v>155</v>
      </c>
      <c r="F10" s="5" t="s">
        <v>133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5" t="s">
        <v>129</v>
      </c>
      <c r="B11" s="5" t="s">
        <v>156</v>
      </c>
      <c r="C11" s="5" t="s">
        <v>153</v>
      </c>
      <c r="D11" s="2" t="s">
        <v>157</v>
      </c>
      <c r="E11" s="5" t="s">
        <v>158</v>
      </c>
      <c r="F11" s="5" t="s">
        <v>133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5" t="s">
        <v>129</v>
      </c>
      <c r="B12" s="5" t="s">
        <v>159</v>
      </c>
      <c r="C12" s="5" t="s">
        <v>153</v>
      </c>
      <c r="D12" s="5" t="s">
        <v>160</v>
      </c>
      <c r="E12" s="2" t="s">
        <v>161</v>
      </c>
      <c r="F12" s="5" t="s">
        <v>133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5" t="s">
        <v>129</v>
      </c>
      <c r="B13" s="5" t="s">
        <v>162</v>
      </c>
      <c r="C13" s="5" t="s">
        <v>163</v>
      </c>
      <c r="D13" s="2" t="s">
        <v>164</v>
      </c>
      <c r="E13" s="5" t="s">
        <v>165</v>
      </c>
      <c r="F13" s="5" t="s">
        <v>166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5" t="s">
        <v>129</v>
      </c>
      <c r="B14" s="5" t="s">
        <v>167</v>
      </c>
      <c r="C14" s="5" t="s">
        <v>168</v>
      </c>
      <c r="D14" s="5" t="s">
        <v>169</v>
      </c>
      <c r="E14" s="5" t="s">
        <v>170</v>
      </c>
      <c r="F14" s="5" t="s">
        <v>133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5" t="s">
        <v>129</v>
      </c>
      <c r="B15" s="5" t="s">
        <v>171</v>
      </c>
      <c r="C15" s="5" t="s">
        <v>168</v>
      </c>
      <c r="D15" s="5" t="s">
        <v>172</v>
      </c>
      <c r="E15" s="2" t="s">
        <v>173</v>
      </c>
      <c r="F15" s="5" t="s">
        <v>166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5" t="s">
        <v>129</v>
      </c>
      <c r="B16" s="5" t="s">
        <v>174</v>
      </c>
      <c r="C16" s="5" t="s">
        <v>168</v>
      </c>
      <c r="D16" s="5" t="s">
        <v>175</v>
      </c>
      <c r="E16" s="2" t="s">
        <v>176</v>
      </c>
      <c r="F16" s="5" t="s">
        <v>133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5" t="s">
        <v>129</v>
      </c>
      <c r="B17" s="5" t="s">
        <v>177</v>
      </c>
      <c r="C17" s="5" t="s">
        <v>168</v>
      </c>
      <c r="D17" s="2" t="s">
        <v>178</v>
      </c>
      <c r="E17" s="5" t="s">
        <v>179</v>
      </c>
      <c r="F17" s="5" t="s">
        <v>133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5" t="s">
        <v>129</v>
      </c>
      <c r="B18" s="2" t="s">
        <v>180</v>
      </c>
      <c r="C18" s="5" t="s">
        <v>168</v>
      </c>
      <c r="D18" s="5" t="s">
        <v>181</v>
      </c>
      <c r="E18" s="5" t="s">
        <v>182</v>
      </c>
      <c r="F18" s="5" t="s">
        <v>133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5" t="s">
        <v>129</v>
      </c>
      <c r="B19" s="5" t="s">
        <v>183</v>
      </c>
      <c r="C19" s="5" t="s">
        <v>65</v>
      </c>
      <c r="D19" s="2" t="s">
        <v>184</v>
      </c>
      <c r="E19" s="5" t="s">
        <v>185</v>
      </c>
      <c r="F19" s="5" t="s">
        <v>133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5" t="s">
        <v>186</v>
      </c>
      <c r="B20" s="5" t="s">
        <v>130</v>
      </c>
      <c r="C20" s="5" t="s">
        <v>16</v>
      </c>
      <c r="D20" s="2" t="s">
        <v>131</v>
      </c>
      <c r="E20" s="5" t="s">
        <v>187</v>
      </c>
      <c r="F20" s="5" t="s">
        <v>188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5" t="s">
        <v>186</v>
      </c>
      <c r="B21" s="2" t="s">
        <v>189</v>
      </c>
      <c r="C21" s="5" t="s">
        <v>190</v>
      </c>
      <c r="D21" s="5" t="s">
        <v>191</v>
      </c>
      <c r="E21" s="2" t="s">
        <v>192</v>
      </c>
      <c r="F21" s="5" t="s">
        <v>12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5" t="s">
        <v>186</v>
      </c>
      <c r="B22" s="2" t="s">
        <v>134</v>
      </c>
      <c r="C22" s="5" t="s">
        <v>190</v>
      </c>
      <c r="D22" s="2" t="s">
        <v>136</v>
      </c>
      <c r="E22" s="2" t="s">
        <v>193</v>
      </c>
      <c r="F22" s="5" t="s">
        <v>12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5" t="s">
        <v>186</v>
      </c>
      <c r="B23" s="2" t="s">
        <v>194</v>
      </c>
      <c r="C23" s="5" t="s">
        <v>190</v>
      </c>
      <c r="D23" s="5" t="s">
        <v>195</v>
      </c>
      <c r="E23" s="2" t="s">
        <v>196</v>
      </c>
      <c r="F23" s="5" t="s">
        <v>12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5" t="s">
        <v>186</v>
      </c>
      <c r="B24" s="5" t="s">
        <v>197</v>
      </c>
      <c r="C24" s="5" t="s">
        <v>198</v>
      </c>
      <c r="D24" s="2" t="s">
        <v>199</v>
      </c>
      <c r="E24" s="2" t="s">
        <v>200</v>
      </c>
      <c r="F24" s="5" t="s">
        <v>12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5" t="s">
        <v>186</v>
      </c>
      <c r="B25" s="5" t="s">
        <v>201</v>
      </c>
      <c r="C25" s="5" t="s">
        <v>198</v>
      </c>
      <c r="D25" s="5" t="s">
        <v>202</v>
      </c>
      <c r="E25" s="5" t="s">
        <v>203</v>
      </c>
      <c r="F25" s="5" t="s">
        <v>12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5" t="s">
        <v>186</v>
      </c>
      <c r="B26" s="5" t="s">
        <v>204</v>
      </c>
      <c r="C26" s="5" t="s">
        <v>205</v>
      </c>
      <c r="D26" s="2" t="s">
        <v>206</v>
      </c>
      <c r="E26" s="2" t="s">
        <v>207</v>
      </c>
      <c r="F26" s="5" t="s">
        <v>208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5" t="s">
        <v>186</v>
      </c>
      <c r="B27" s="2" t="s">
        <v>209</v>
      </c>
      <c r="C27" s="5" t="s">
        <v>210</v>
      </c>
      <c r="D27" s="2" t="s">
        <v>211</v>
      </c>
      <c r="E27" s="5" t="s">
        <v>212</v>
      </c>
      <c r="F27" s="5" t="s">
        <v>208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5" t="s">
        <v>186</v>
      </c>
      <c r="B28" s="2" t="s">
        <v>213</v>
      </c>
      <c r="C28" s="5" t="s">
        <v>214</v>
      </c>
      <c r="D28" s="2" t="s">
        <v>215</v>
      </c>
      <c r="E28" s="2" t="s">
        <v>216</v>
      </c>
      <c r="F28" s="5" t="s">
        <v>59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5" t="s">
        <v>186</v>
      </c>
      <c r="B29" s="2" t="s">
        <v>217</v>
      </c>
      <c r="C29" s="5" t="s">
        <v>214</v>
      </c>
      <c r="D29" s="5" t="s">
        <v>218</v>
      </c>
      <c r="E29" s="5" t="s">
        <v>219</v>
      </c>
      <c r="F29" s="5" t="s">
        <v>59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5" t="s">
        <v>186</v>
      </c>
      <c r="B30" s="5" t="s">
        <v>220</v>
      </c>
      <c r="C30" s="5" t="s">
        <v>221</v>
      </c>
      <c r="D30" s="2" t="s">
        <v>222</v>
      </c>
      <c r="E30" s="5" t="s">
        <v>223</v>
      </c>
      <c r="F30" s="5" t="s">
        <v>59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5" t="s">
        <v>186</v>
      </c>
      <c r="B31" s="5" t="s">
        <v>224</v>
      </c>
      <c r="C31" s="5" t="s">
        <v>225</v>
      </c>
      <c r="D31" s="2" t="s">
        <v>226</v>
      </c>
      <c r="E31" s="5" t="s">
        <v>227</v>
      </c>
      <c r="F31" s="5" t="s">
        <v>59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5" t="s">
        <v>186</v>
      </c>
      <c r="B32" s="2" t="s">
        <v>228</v>
      </c>
      <c r="C32" s="5" t="s">
        <v>225</v>
      </c>
      <c r="D32" s="5" t="s">
        <v>229</v>
      </c>
      <c r="E32" s="2" t="s">
        <v>230</v>
      </c>
      <c r="F32" s="5" t="s">
        <v>12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5" t="s">
        <v>186</v>
      </c>
      <c r="B33" s="5" t="s">
        <v>231</v>
      </c>
      <c r="C33" s="5" t="s">
        <v>66</v>
      </c>
      <c r="D33" s="2" t="s">
        <v>184</v>
      </c>
      <c r="E33" s="5" t="s">
        <v>232</v>
      </c>
      <c r="F33" s="5" t="s">
        <v>233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4" min="3" style="0" width="32"/>
    <col collapsed="false" customWidth="true" hidden="false" outlineLevel="0" max="5" min="5" style="0" width="18"/>
    <col collapsed="false" customWidth="true" hidden="false" outlineLevel="0" max="6" min="6" style="0" width="48"/>
  </cols>
  <sheetData>
    <row r="1" customFormat="false" ht="28" hidden="false" customHeight="true" outlineLevel="0" collapsed="false">
      <c r="A1" s="1" t="s">
        <v>234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4" t="s">
        <v>235</v>
      </c>
      <c r="B3" s="4" t="s">
        <v>236</v>
      </c>
      <c r="C3" s="4" t="s">
        <v>2</v>
      </c>
      <c r="D3" s="4" t="s">
        <v>3</v>
      </c>
      <c r="E3" s="4" t="s">
        <v>237</v>
      </c>
      <c r="F3" s="4" t="s">
        <v>75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 t="s">
        <v>238</v>
      </c>
      <c r="B4" s="2" t="s">
        <v>239</v>
      </c>
      <c r="C4" s="6" t="n">
        <v>195.3097</v>
      </c>
      <c r="D4" s="6" t="n">
        <v>142.9114</v>
      </c>
      <c r="E4" s="2" t="s">
        <v>240</v>
      </c>
      <c r="F4" s="5" t="s">
        <v>50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 t="s">
        <v>238</v>
      </c>
      <c r="B5" s="2" t="s">
        <v>241</v>
      </c>
      <c r="C5" s="6" t="n">
        <v>953054</v>
      </c>
      <c r="D5" s="6" t="n">
        <v>622268</v>
      </c>
      <c r="E5" s="2" t="s">
        <v>242</v>
      </c>
      <c r="F5" s="5" t="s">
        <v>50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2" t="s">
        <v>243</v>
      </c>
      <c r="B6" s="2" t="s">
        <v>244</v>
      </c>
      <c r="C6" s="5" t="s">
        <v>245</v>
      </c>
      <c r="D6" s="2" t="s">
        <v>246</v>
      </c>
      <c r="E6" s="5" t="s">
        <v>247</v>
      </c>
      <c r="F6" s="5" t="s">
        <v>50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2" t="s">
        <v>243</v>
      </c>
      <c r="B7" s="2" t="s">
        <v>248</v>
      </c>
      <c r="C7" s="2" t="n">
        <v>32.521</v>
      </c>
      <c r="D7" s="2" t="s">
        <v>100</v>
      </c>
      <c r="E7" s="2" t="s">
        <v>249</v>
      </c>
      <c r="F7" s="5" t="s">
        <v>50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2" t="s">
        <v>250</v>
      </c>
      <c r="B8" s="5" t="s">
        <v>251</v>
      </c>
      <c r="C8" s="5" t="s">
        <v>252</v>
      </c>
      <c r="D8" s="2" t="s">
        <v>253</v>
      </c>
      <c r="E8" s="2" t="s">
        <v>242</v>
      </c>
      <c r="F8" s="5" t="s">
        <v>36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2" t="s">
        <v>250</v>
      </c>
      <c r="B9" s="2" t="s">
        <v>254</v>
      </c>
      <c r="C9" s="5" t="s">
        <v>255</v>
      </c>
      <c r="D9" s="2" t="s">
        <v>256</v>
      </c>
      <c r="E9" s="2" t="s">
        <v>242</v>
      </c>
      <c r="F9" s="5" t="s">
        <v>133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2" t="s">
        <v>250</v>
      </c>
      <c r="B10" s="5" t="s">
        <v>257</v>
      </c>
      <c r="C10" s="5" t="s">
        <v>258</v>
      </c>
      <c r="D10" s="2" t="s">
        <v>256</v>
      </c>
      <c r="E10" s="2" t="s">
        <v>242</v>
      </c>
      <c r="F10" s="5" t="s">
        <v>133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2" t="s">
        <v>250</v>
      </c>
      <c r="B11" s="5" t="s">
        <v>259</v>
      </c>
      <c r="C11" s="5" t="s">
        <v>260</v>
      </c>
      <c r="D11" s="2" t="s">
        <v>256</v>
      </c>
      <c r="E11" s="2" t="s">
        <v>242</v>
      </c>
      <c r="F11" s="5" t="s">
        <v>133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2" t="s">
        <v>250</v>
      </c>
      <c r="B12" s="2" t="s">
        <v>261</v>
      </c>
      <c r="C12" s="5" t="s">
        <v>262</v>
      </c>
      <c r="D12" s="5" t="s">
        <v>263</v>
      </c>
      <c r="E12" s="2" t="s">
        <v>264</v>
      </c>
      <c r="F12" s="5" t="s">
        <v>166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2" t="s">
        <v>265</v>
      </c>
      <c r="B13" s="2" t="s">
        <v>266</v>
      </c>
      <c r="C13" s="5" t="s">
        <v>267</v>
      </c>
      <c r="D13" s="2" t="s">
        <v>268</v>
      </c>
      <c r="E13" s="2" t="s">
        <v>269</v>
      </c>
      <c r="F13" s="5" t="s">
        <v>18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 t="s">
        <v>265</v>
      </c>
      <c r="B14" s="2" t="s">
        <v>270</v>
      </c>
      <c r="C14" s="5" t="s">
        <v>271</v>
      </c>
      <c r="D14" s="2" t="s">
        <v>256</v>
      </c>
      <c r="E14" s="2" t="s">
        <v>249</v>
      </c>
      <c r="F14" s="5" t="s">
        <v>133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 t="s">
        <v>265</v>
      </c>
      <c r="B15" s="2" t="s">
        <v>272</v>
      </c>
      <c r="C15" s="5" t="s">
        <v>273</v>
      </c>
      <c r="D15" s="2" t="s">
        <v>256</v>
      </c>
      <c r="E15" s="2" t="s">
        <v>274</v>
      </c>
      <c r="F15" s="5" t="s">
        <v>166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 t="s">
        <v>265</v>
      </c>
      <c r="B16" s="5" t="s">
        <v>275</v>
      </c>
      <c r="C16" s="5" t="s">
        <v>276</v>
      </c>
      <c r="D16" s="2" t="s">
        <v>256</v>
      </c>
      <c r="E16" s="2" t="s">
        <v>274</v>
      </c>
      <c r="F16" s="5" t="s">
        <v>277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 t="s">
        <v>265</v>
      </c>
      <c r="B17" s="2" t="s">
        <v>278</v>
      </c>
      <c r="C17" s="2" t="n">
        <v>21.6</v>
      </c>
      <c r="D17" s="5" t="s">
        <v>279</v>
      </c>
      <c r="E17" s="5" t="s">
        <v>280</v>
      </c>
      <c r="F17" s="5" t="s">
        <v>45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 t="s">
        <v>281</v>
      </c>
      <c r="B18" s="2" t="s">
        <v>282</v>
      </c>
      <c r="C18" s="5" t="s">
        <v>283</v>
      </c>
      <c r="D18" s="5" t="s">
        <v>284</v>
      </c>
      <c r="E18" s="2" t="s">
        <v>285</v>
      </c>
      <c r="F18" s="5" t="s">
        <v>50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 t="s">
        <v>281</v>
      </c>
      <c r="B19" s="2" t="s">
        <v>286</v>
      </c>
      <c r="C19" s="5" t="s">
        <v>287</v>
      </c>
      <c r="D19" s="5" t="s">
        <v>288</v>
      </c>
      <c r="E19" s="2" t="s">
        <v>289</v>
      </c>
      <c r="F19" s="5" t="s">
        <v>50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 t="s">
        <v>290</v>
      </c>
      <c r="B20" s="2" t="s">
        <v>55</v>
      </c>
      <c r="C20" s="2" t="s">
        <v>291</v>
      </c>
      <c r="D20" s="5" t="s">
        <v>57</v>
      </c>
      <c r="E20" s="5" t="s">
        <v>292</v>
      </c>
      <c r="F20" s="5" t="s">
        <v>59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 t="s">
        <v>293</v>
      </c>
      <c r="B21" s="2" t="s">
        <v>294</v>
      </c>
      <c r="C21" s="5" t="s">
        <v>295</v>
      </c>
      <c r="D21" s="2" t="s">
        <v>296</v>
      </c>
      <c r="E21" s="2" t="s">
        <v>297</v>
      </c>
      <c r="F21" s="5" t="s">
        <v>298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4"/>
    <col collapsed="false" customWidth="true" hidden="false" outlineLevel="0" max="6" min="4" style="0" width="34"/>
    <col collapsed="false" customWidth="true" hidden="false" outlineLevel="0" max="7" min="7" style="0" width="48"/>
  </cols>
  <sheetData>
    <row r="1" customFormat="false" ht="28" hidden="false" customHeight="true" outlineLevel="0" collapsed="false">
      <c r="A1" s="1" t="s">
        <v>299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4" t="s">
        <v>124</v>
      </c>
      <c r="B3" s="4" t="s">
        <v>300</v>
      </c>
      <c r="C3" s="4" t="s">
        <v>301</v>
      </c>
      <c r="D3" s="4" t="s">
        <v>302</v>
      </c>
      <c r="E3" s="4" t="s">
        <v>303</v>
      </c>
      <c r="F3" s="4" t="s">
        <v>4</v>
      </c>
      <c r="G3" s="4" t="s">
        <v>75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5" t="s">
        <v>129</v>
      </c>
      <c r="B4" s="5" t="s">
        <v>304</v>
      </c>
      <c r="C4" s="5" t="s">
        <v>305</v>
      </c>
      <c r="D4" s="2" t="s">
        <v>306</v>
      </c>
      <c r="E4" s="5" t="s">
        <v>307</v>
      </c>
      <c r="F4" s="2" t="s">
        <v>308</v>
      </c>
      <c r="G4" s="5" t="s">
        <v>277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5" t="s">
        <v>129</v>
      </c>
      <c r="B5" s="5" t="s">
        <v>309</v>
      </c>
      <c r="C5" s="5" t="s">
        <v>310</v>
      </c>
      <c r="D5" s="2" t="s">
        <v>311</v>
      </c>
      <c r="E5" s="5" t="s">
        <v>312</v>
      </c>
      <c r="F5" s="2" t="s">
        <v>313</v>
      </c>
      <c r="G5" s="5" t="s">
        <v>133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129</v>
      </c>
      <c r="B6" s="5" t="s">
        <v>314</v>
      </c>
      <c r="C6" s="5" t="s">
        <v>315</v>
      </c>
      <c r="D6" s="2" t="s">
        <v>316</v>
      </c>
      <c r="E6" s="5" t="s">
        <v>317</v>
      </c>
      <c r="F6" s="2" t="s">
        <v>318</v>
      </c>
      <c r="G6" s="5" t="s">
        <v>166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5" t="s">
        <v>186</v>
      </c>
      <c r="B7" s="5" t="s">
        <v>319</v>
      </c>
      <c r="C7" s="5" t="s">
        <v>305</v>
      </c>
      <c r="D7" s="2" t="s">
        <v>320</v>
      </c>
      <c r="E7" s="5" t="s">
        <v>321</v>
      </c>
      <c r="F7" s="2" t="s">
        <v>322</v>
      </c>
      <c r="G7" s="5" t="s">
        <v>208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5" t="s">
        <v>186</v>
      </c>
      <c r="B8" s="5" t="s">
        <v>323</v>
      </c>
      <c r="C8" s="5" t="s">
        <v>310</v>
      </c>
      <c r="D8" s="2" t="s">
        <v>324</v>
      </c>
      <c r="E8" s="5" t="s">
        <v>325</v>
      </c>
      <c r="F8" s="2" t="s">
        <v>326</v>
      </c>
      <c r="G8" s="5" t="s">
        <v>327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5" t="s">
        <v>186</v>
      </c>
      <c r="B9" s="5" t="s">
        <v>328</v>
      </c>
      <c r="C9" s="5" t="s">
        <v>315</v>
      </c>
      <c r="D9" s="2" t="s">
        <v>329</v>
      </c>
      <c r="E9" s="5" t="s">
        <v>330</v>
      </c>
      <c r="F9" s="5" t="s">
        <v>331</v>
      </c>
      <c r="G9" s="5" t="s">
        <v>327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5" t="s">
        <v>186</v>
      </c>
      <c r="B10" s="5" t="s">
        <v>332</v>
      </c>
      <c r="C10" s="2" t="s">
        <v>333</v>
      </c>
      <c r="D10" s="2" t="s">
        <v>334</v>
      </c>
      <c r="E10" s="2" t="s">
        <v>335</v>
      </c>
      <c r="F10" s="2" t="s">
        <v>336</v>
      </c>
      <c r="G10" s="5" t="s">
        <v>327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5" t="s">
        <v>129</v>
      </c>
      <c r="B11" s="5" t="s">
        <v>337</v>
      </c>
      <c r="C11" s="5" t="s">
        <v>338</v>
      </c>
      <c r="D11" s="2" t="s">
        <v>339</v>
      </c>
      <c r="E11" s="5" t="s">
        <v>340</v>
      </c>
      <c r="F11" s="2" t="s">
        <v>341</v>
      </c>
      <c r="G11" s="5" t="s">
        <v>133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5" t="s">
        <v>129</v>
      </c>
      <c r="B12" s="5" t="s">
        <v>342</v>
      </c>
      <c r="C12" s="5" t="s">
        <v>343</v>
      </c>
      <c r="D12" s="2" t="s">
        <v>344</v>
      </c>
      <c r="E12" s="5" t="s">
        <v>345</v>
      </c>
      <c r="F12" s="2" t="s">
        <v>346</v>
      </c>
      <c r="G12" s="5" t="s">
        <v>133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5" t="s">
        <v>186</v>
      </c>
      <c r="B13" s="5" t="s">
        <v>347</v>
      </c>
      <c r="C13" s="5" t="s">
        <v>338</v>
      </c>
      <c r="D13" s="2" t="s">
        <v>348</v>
      </c>
      <c r="E13" s="5" t="s">
        <v>349</v>
      </c>
      <c r="F13" s="5" t="s">
        <v>350</v>
      </c>
      <c r="G13" s="5" t="s">
        <v>12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5" t="s">
        <v>186</v>
      </c>
      <c r="B14" s="5" t="s">
        <v>351</v>
      </c>
      <c r="C14" s="5" t="s">
        <v>343</v>
      </c>
      <c r="D14" s="2" t="s">
        <v>352</v>
      </c>
      <c r="E14" s="5" t="s">
        <v>353</v>
      </c>
      <c r="F14" s="2" t="s">
        <v>354</v>
      </c>
      <c r="G14" s="5" t="s">
        <v>208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52"/>
    <col collapsed="false" customWidth="true" hidden="false" outlineLevel="0" max="5" min="5" style="0" width="48"/>
  </cols>
  <sheetData>
    <row r="1" customFormat="false" ht="28" hidden="false" customHeight="true" outlineLevel="0" collapsed="false">
      <c r="A1" s="1" t="s">
        <v>355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4" t="s">
        <v>124</v>
      </c>
      <c r="B3" s="4" t="s">
        <v>73</v>
      </c>
      <c r="C3" s="4" t="s">
        <v>356</v>
      </c>
      <c r="D3" s="4" t="s">
        <v>357</v>
      </c>
      <c r="E3" s="4" t="s">
        <v>75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5" t="s">
        <v>129</v>
      </c>
      <c r="B4" s="2" t="s">
        <v>164</v>
      </c>
      <c r="C4" s="2" t="s">
        <v>358</v>
      </c>
      <c r="D4" s="5" t="s">
        <v>359</v>
      </c>
      <c r="E4" s="5" t="s">
        <v>166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5" t="s">
        <v>129</v>
      </c>
      <c r="B5" s="2" t="s">
        <v>272</v>
      </c>
      <c r="C5" s="5" t="s">
        <v>273</v>
      </c>
      <c r="D5" s="5" t="s">
        <v>360</v>
      </c>
      <c r="E5" s="5" t="s">
        <v>133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129</v>
      </c>
      <c r="B6" s="5" t="s">
        <v>361</v>
      </c>
      <c r="C6" s="5" t="s">
        <v>276</v>
      </c>
      <c r="D6" s="5" t="s">
        <v>362</v>
      </c>
      <c r="E6" s="5" t="s">
        <v>166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5" t="s">
        <v>129</v>
      </c>
      <c r="B7" s="2" t="s">
        <v>363</v>
      </c>
      <c r="C7" s="5" t="s">
        <v>364</v>
      </c>
      <c r="D7" s="2" t="s">
        <v>365</v>
      </c>
      <c r="E7" s="5" t="s">
        <v>277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5" t="s">
        <v>129</v>
      </c>
      <c r="B8" s="2" t="s">
        <v>366</v>
      </c>
      <c r="C8" s="5" t="s">
        <v>367</v>
      </c>
      <c r="D8" s="2" t="s">
        <v>368</v>
      </c>
      <c r="E8" s="5" t="s">
        <v>166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5" t="s">
        <v>129</v>
      </c>
      <c r="B9" s="2" t="s">
        <v>369</v>
      </c>
      <c r="C9" s="5" t="s">
        <v>370</v>
      </c>
      <c r="D9" s="2" t="s">
        <v>371</v>
      </c>
      <c r="E9" s="5" t="s">
        <v>277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5" t="s">
        <v>129</v>
      </c>
      <c r="B10" s="2" t="s">
        <v>372</v>
      </c>
      <c r="C10" s="2" t="s">
        <v>373</v>
      </c>
      <c r="D10" s="2" t="s">
        <v>374</v>
      </c>
      <c r="E10" s="5" t="s">
        <v>277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5" t="s">
        <v>186</v>
      </c>
      <c r="B11" s="2" t="s">
        <v>375</v>
      </c>
      <c r="C11" s="5" t="s">
        <v>376</v>
      </c>
      <c r="D11" s="2" t="s">
        <v>377</v>
      </c>
      <c r="E11" s="5" t="s">
        <v>188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5" t="s">
        <v>186</v>
      </c>
      <c r="B12" s="2" t="s">
        <v>164</v>
      </c>
      <c r="C12" s="2" t="s">
        <v>31</v>
      </c>
      <c r="D12" s="2" t="s">
        <v>378</v>
      </c>
      <c r="E12" s="5" t="s">
        <v>208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5" t="s">
        <v>186</v>
      </c>
      <c r="B13" s="5" t="s">
        <v>379</v>
      </c>
      <c r="C13" s="2" t="s">
        <v>380</v>
      </c>
      <c r="D13" s="2" t="s">
        <v>381</v>
      </c>
      <c r="E13" s="5" t="s">
        <v>110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5" t="s">
        <v>186</v>
      </c>
      <c r="B14" s="2" t="s">
        <v>382</v>
      </c>
      <c r="C14" s="5" t="s">
        <v>383</v>
      </c>
      <c r="D14" s="5" t="s">
        <v>384</v>
      </c>
      <c r="E14" s="5" t="s">
        <v>12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5" t="s">
        <v>186</v>
      </c>
      <c r="B15" s="2" t="s">
        <v>385</v>
      </c>
      <c r="C15" s="2" t="s">
        <v>386</v>
      </c>
      <c r="D15" s="2" t="s">
        <v>387</v>
      </c>
      <c r="E15" s="5" t="s">
        <v>327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5" t="s">
        <v>186</v>
      </c>
      <c r="B16" s="5" t="s">
        <v>388</v>
      </c>
      <c r="C16" s="2" t="s">
        <v>389</v>
      </c>
      <c r="D16" s="2" t="s">
        <v>390</v>
      </c>
      <c r="E16" s="5" t="s">
        <v>327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6" min="4" style="0" width="36"/>
    <col collapsed="false" customWidth="true" hidden="false" outlineLevel="0" max="7" min="7" style="0" width="48"/>
  </cols>
  <sheetData>
    <row r="1" customFormat="false" ht="28" hidden="false" customHeight="true" outlineLevel="0" collapsed="false">
      <c r="A1" s="1" t="s">
        <v>391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4" t="s">
        <v>124</v>
      </c>
      <c r="B3" s="4" t="s">
        <v>392</v>
      </c>
      <c r="C3" s="4" t="s">
        <v>393</v>
      </c>
      <c r="D3" s="4" t="s">
        <v>127</v>
      </c>
      <c r="E3" s="4" t="s">
        <v>394</v>
      </c>
      <c r="F3" s="4" t="s">
        <v>395</v>
      </c>
      <c r="G3" s="4" t="s">
        <v>75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5" t="s">
        <v>129</v>
      </c>
      <c r="B4" s="2" t="s">
        <v>396</v>
      </c>
      <c r="C4" s="2" t="s">
        <v>397</v>
      </c>
      <c r="D4" s="5" t="s">
        <v>398</v>
      </c>
      <c r="E4" s="2" t="s">
        <v>399</v>
      </c>
      <c r="F4" s="5" t="s">
        <v>400</v>
      </c>
      <c r="G4" s="5" t="s">
        <v>277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5" t="s">
        <v>129</v>
      </c>
      <c r="B5" s="2" t="s">
        <v>401</v>
      </c>
      <c r="C5" s="2" t="s">
        <v>402</v>
      </c>
      <c r="D5" s="5" t="s">
        <v>403</v>
      </c>
      <c r="E5" s="2" t="s">
        <v>404</v>
      </c>
      <c r="F5" s="5" t="s">
        <v>405</v>
      </c>
      <c r="G5" s="5" t="s">
        <v>277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129</v>
      </c>
      <c r="B6" s="2" t="s">
        <v>406</v>
      </c>
      <c r="C6" s="2" t="s">
        <v>407</v>
      </c>
      <c r="D6" s="2" t="s">
        <v>408</v>
      </c>
      <c r="E6" s="2" t="s">
        <v>409</v>
      </c>
      <c r="F6" s="2" t="s">
        <v>410</v>
      </c>
      <c r="G6" s="5" t="s">
        <v>277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5" t="s">
        <v>129</v>
      </c>
      <c r="B7" s="2" t="s">
        <v>411</v>
      </c>
      <c r="C7" s="5" t="s">
        <v>412</v>
      </c>
      <c r="D7" s="2" t="s">
        <v>413</v>
      </c>
      <c r="E7" s="2" t="s">
        <v>414</v>
      </c>
      <c r="F7" s="5" t="s">
        <v>415</v>
      </c>
      <c r="G7" s="5" t="s">
        <v>133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5" t="s">
        <v>186</v>
      </c>
      <c r="B8" s="2" t="s">
        <v>26</v>
      </c>
      <c r="C8" s="2" t="s">
        <v>416</v>
      </c>
      <c r="D8" s="5" t="s">
        <v>417</v>
      </c>
      <c r="E8" s="2" t="s">
        <v>418</v>
      </c>
      <c r="F8" s="2" t="s">
        <v>419</v>
      </c>
      <c r="G8" s="5" t="s">
        <v>12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5" t="s">
        <v>186</v>
      </c>
      <c r="B9" s="2" t="s">
        <v>420</v>
      </c>
      <c r="C9" s="5" t="s">
        <v>204</v>
      </c>
      <c r="D9" s="5" t="s">
        <v>421</v>
      </c>
      <c r="E9" s="2" t="s">
        <v>422</v>
      </c>
      <c r="F9" s="2" t="s">
        <v>423</v>
      </c>
      <c r="G9" s="5" t="s">
        <v>208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5" t="s">
        <v>186</v>
      </c>
      <c r="B10" s="2" t="s">
        <v>424</v>
      </c>
      <c r="C10" s="2" t="s">
        <v>425</v>
      </c>
      <c r="D10" s="5" t="s">
        <v>426</v>
      </c>
      <c r="E10" s="5" t="s">
        <v>427</v>
      </c>
      <c r="F10" s="2" t="s">
        <v>428</v>
      </c>
      <c r="G10" s="5" t="s">
        <v>327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5" t="s">
        <v>186</v>
      </c>
      <c r="B11" s="2" t="s">
        <v>429</v>
      </c>
      <c r="C11" s="2" t="s">
        <v>425</v>
      </c>
      <c r="D11" s="2" t="s">
        <v>430</v>
      </c>
      <c r="E11" s="2" t="s">
        <v>431</v>
      </c>
      <c r="F11" s="5" t="s">
        <v>432</v>
      </c>
      <c r="G11" s="5" t="s">
        <v>59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5" t="s">
        <v>186</v>
      </c>
      <c r="B12" s="2" t="s">
        <v>433</v>
      </c>
      <c r="C12" s="2" t="s">
        <v>434</v>
      </c>
      <c r="D12" s="2" t="s">
        <v>435</v>
      </c>
      <c r="E12" s="2" t="s">
        <v>436</v>
      </c>
      <c r="F12" s="5" t="s">
        <v>437</v>
      </c>
      <c r="G12" s="5" t="s">
        <v>327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5" t="s">
        <v>186</v>
      </c>
      <c r="B13" s="2" t="s">
        <v>438</v>
      </c>
      <c r="C13" s="2" t="s">
        <v>439</v>
      </c>
      <c r="D13" s="2" t="s">
        <v>440</v>
      </c>
      <c r="E13" s="2" t="s">
        <v>441</v>
      </c>
      <c r="F13" s="2" t="s">
        <v>442</v>
      </c>
      <c r="G13" s="5" t="s">
        <v>443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64"/>
    <col collapsed="false" customWidth="true" hidden="false" outlineLevel="0" max="5" min="4" style="0" width="45"/>
  </cols>
  <sheetData>
    <row r="1" customFormat="false" ht="28" hidden="false" customHeight="true" outlineLevel="0" collapsed="false">
      <c r="A1" s="1" t="s">
        <v>444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4" t="s">
        <v>445</v>
      </c>
      <c r="B3" s="4" t="s">
        <v>446</v>
      </c>
      <c r="C3" s="8" t="s">
        <v>447</v>
      </c>
      <c r="D3" s="4" t="s">
        <v>448</v>
      </c>
      <c r="E3" s="4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5" t="s">
        <v>449</v>
      </c>
      <c r="B4" s="5" t="s">
        <v>450</v>
      </c>
      <c r="C4" s="5" t="s">
        <v>133</v>
      </c>
      <c r="D4" s="5" t="s">
        <v>451</v>
      </c>
      <c r="E4" s="5" t="s">
        <v>452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5" t="s">
        <v>453</v>
      </c>
      <c r="B5" s="5" t="s">
        <v>450</v>
      </c>
      <c r="C5" s="5" t="s">
        <v>12</v>
      </c>
      <c r="D5" s="5" t="s">
        <v>454</v>
      </c>
      <c r="E5" s="5" t="s">
        <v>455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456</v>
      </c>
      <c r="B6" s="5" t="s">
        <v>457</v>
      </c>
      <c r="C6" s="5" t="s">
        <v>277</v>
      </c>
      <c r="D6" s="5" t="s">
        <v>458</v>
      </c>
      <c r="E6" s="5" t="s">
        <v>459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5" t="s">
        <v>460</v>
      </c>
      <c r="B7" s="5" t="s">
        <v>457</v>
      </c>
      <c r="C7" s="5" t="s">
        <v>327</v>
      </c>
      <c r="D7" s="5" t="s">
        <v>461</v>
      </c>
      <c r="E7" s="5" t="s">
        <v>459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5" t="s">
        <v>462</v>
      </c>
      <c r="B8" s="5" t="s">
        <v>463</v>
      </c>
      <c r="C8" s="5" t="s">
        <v>59</v>
      </c>
      <c r="D8" s="2" t="s">
        <v>464</v>
      </c>
      <c r="E8" s="5" t="s">
        <v>465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5" t="s">
        <v>466</v>
      </c>
      <c r="B9" s="5" t="s">
        <v>467</v>
      </c>
      <c r="C9" s="5" t="s">
        <v>468</v>
      </c>
      <c r="D9" s="5" t="s">
        <v>469</v>
      </c>
      <c r="E9" s="2" t="s">
        <v>470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5" t="s">
        <v>471</v>
      </c>
      <c r="B10" s="5" t="s">
        <v>467</v>
      </c>
      <c r="C10" s="5" t="s">
        <v>472</v>
      </c>
      <c r="D10" s="5" t="s">
        <v>473</v>
      </c>
      <c r="E10" s="2" t="s">
        <v>470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dcterms:modified xsi:type="dcterms:W3CDTF">2026-06-04T01:29:53Z</dcterms:modified>
  <cp:revision>1</cp:revision>
  <dc:subject/>
  <dc:title/>
</cp:coreProperties>
</file>